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pissingu-my.sharepoint.com/personal/terryy_nipissingu_ca/Documents/Teaching/University of Toronto/202309/ECO202/Slide/F/Week 2/Problem Set/"/>
    </mc:Choice>
  </mc:AlternateContent>
  <xr:revisionPtr revIDLastSave="56" documentId="8_{D0F39CB1-C789-46F8-8368-33F3F8E3FAE1}" xr6:coauthVersionLast="47" xr6:coauthVersionMax="47" xr10:uidLastSave="{67F8BA47-77B3-44BB-86B4-765889758F74}"/>
  <bookViews>
    <workbookView xWindow="-110" yWindow="-110" windowWidth="38620" windowHeight="21100" xr2:uid="{A0D9BB8E-A435-431B-8861-93C75059D7E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23" i="1"/>
  <c r="B22" i="1"/>
  <c r="F23" i="1"/>
  <c r="F22" i="1"/>
  <c r="F26" i="1"/>
  <c r="B26" i="1"/>
  <c r="F25" i="1"/>
  <c r="B25" i="1"/>
  <c r="B10" i="1"/>
  <c r="B6" i="1"/>
  <c r="C9" i="1"/>
  <c r="C10" i="1"/>
  <c r="B9" i="1"/>
  <c r="B12" i="1" s="1"/>
  <c r="B7" i="1"/>
  <c r="J22" i="1" l="1"/>
  <c r="G23" i="1"/>
  <c r="J25" i="1"/>
  <c r="G26" i="1"/>
  <c r="J26" i="1"/>
  <c r="C23" i="1"/>
  <c r="C26" i="1"/>
  <c r="J23" i="1"/>
  <c r="C12" i="1"/>
  <c r="G29" i="1" l="1"/>
  <c r="F29" i="1" s="1"/>
  <c r="K23" i="1"/>
  <c r="C29" i="1"/>
  <c r="K26" i="1"/>
  <c r="J30" i="1" l="1"/>
  <c r="K29" i="1"/>
  <c r="J29" i="1" s="1"/>
</calcChain>
</file>

<file path=xl/sharedStrings.xml><?xml version="1.0" encoding="utf-8"?>
<sst xmlns="http://schemas.openxmlformats.org/spreadsheetml/2006/main" count="21" uniqueCount="21">
  <si>
    <t>P_c</t>
  </si>
  <si>
    <t>Q_c</t>
  </si>
  <si>
    <t>P_f</t>
  </si>
  <si>
    <t>Q_f</t>
  </si>
  <si>
    <t>Nominal GDP 2021</t>
  </si>
  <si>
    <t>Nominal GDP 2022</t>
  </si>
  <si>
    <t>2021 base</t>
  </si>
  <si>
    <t>2022 base</t>
  </si>
  <si>
    <t>real GDP 2022</t>
  </si>
  <si>
    <t>real GDP 2021</t>
  </si>
  <si>
    <t>P_C1</t>
  </si>
  <si>
    <t>Q_C1</t>
  </si>
  <si>
    <t>P_C2</t>
  </si>
  <si>
    <t>Q_C2</t>
  </si>
  <si>
    <t>P_I1</t>
  </si>
  <si>
    <t>Q_I1</t>
  </si>
  <si>
    <t>P_I2</t>
  </si>
  <si>
    <t>Q_I2</t>
  </si>
  <si>
    <t>Real in 2012 price</t>
  </si>
  <si>
    <t>Real in 2013 price</t>
  </si>
  <si>
    <t>Chained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</si>
</sst>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CA0E-0C2A-442A-AA64-E35686BBA77E}">
  <dimension ref="A2:N30"/>
  <sheetViews>
    <sheetView tabSelected="1" workbookViewId="0">
      <selection activeCell="F29" sqref="F29"/>
    </sheetView>
  </sheetViews>
  <sheetFormatPr defaultRowHeight="14.45"/>
  <cols>
    <col min="1" max="1" width="22.42578125" bestFit="1" customWidth="1"/>
    <col min="2" max="2" width="14.42578125" bestFit="1" customWidth="1"/>
  </cols>
  <sheetData>
    <row r="2" spans="1:5">
      <c r="A2" s="2"/>
      <c r="B2" s="1" t="s">
        <v>0</v>
      </c>
      <c r="C2" s="1" t="s">
        <v>1</v>
      </c>
      <c r="D2" s="1" t="s">
        <v>2</v>
      </c>
      <c r="E2" s="1" t="s">
        <v>3</v>
      </c>
    </row>
    <row r="3" spans="1:5">
      <c r="A3" s="2">
        <v>2021</v>
      </c>
      <c r="B3" s="1">
        <v>1000</v>
      </c>
      <c r="C3" s="1">
        <v>10</v>
      </c>
      <c r="D3" s="1">
        <v>4</v>
      </c>
      <c r="E3" s="1">
        <v>500</v>
      </c>
    </row>
    <row r="4" spans="1:5">
      <c r="A4" s="2">
        <v>2022</v>
      </c>
      <c r="B4" s="1">
        <v>10</v>
      </c>
      <c r="C4" s="1">
        <v>1200</v>
      </c>
      <c r="D4" s="1">
        <v>5</v>
      </c>
      <c r="E4" s="1">
        <v>510</v>
      </c>
    </row>
    <row r="6" spans="1:5">
      <c r="A6" t="s">
        <v>4</v>
      </c>
      <c r="B6">
        <f>B3*C3+D3*E3</f>
        <v>12000</v>
      </c>
    </row>
    <row r="7" spans="1:5">
      <c r="A7" t="s">
        <v>5</v>
      </c>
      <c r="B7">
        <f>B4*C4+D4*E4</f>
        <v>14550</v>
      </c>
    </row>
    <row r="8" spans="1:5">
      <c r="B8" t="s">
        <v>6</v>
      </c>
      <c r="C8" t="s">
        <v>7</v>
      </c>
    </row>
    <row r="9" spans="1:5">
      <c r="A9" t="s">
        <v>8</v>
      </c>
      <c r="B9">
        <f>B3*C4+D3*E4</f>
        <v>1202040</v>
      </c>
      <c r="C9">
        <f>B4*C4+D4*E4</f>
        <v>14550</v>
      </c>
    </row>
    <row r="10" spans="1:5">
      <c r="A10" t="s">
        <v>9</v>
      </c>
      <c r="B10">
        <f>B3*C3+D3*E3</f>
        <v>12000</v>
      </c>
      <c r="C10">
        <f>B4*C3+D4*E3</f>
        <v>2600</v>
      </c>
    </row>
    <row r="12" spans="1:5">
      <c r="B12">
        <f>B9/B10-1</f>
        <v>99.17</v>
      </c>
      <c r="C12">
        <f>C9/C10-1</f>
        <v>4.5961538461538458</v>
      </c>
    </row>
    <row r="17" spans="1:14">
      <c r="A17" s="5"/>
      <c r="B17" s="5" t="s">
        <v>10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15</v>
      </c>
      <c r="H17" s="5" t="s">
        <v>16</v>
      </c>
      <c r="I17" s="5" t="s">
        <v>17</v>
      </c>
    </row>
    <row r="18" spans="1:14">
      <c r="A18">
        <v>2012</v>
      </c>
      <c r="B18">
        <v>80</v>
      </c>
      <c r="C18">
        <v>150</v>
      </c>
      <c r="D18">
        <v>16</v>
      </c>
      <c r="E18">
        <v>48</v>
      </c>
      <c r="F18">
        <v>32</v>
      </c>
      <c r="G18">
        <v>14</v>
      </c>
      <c r="H18">
        <v>120</v>
      </c>
      <c r="I18">
        <v>15</v>
      </c>
      <c r="N18" s="4"/>
    </row>
    <row r="19" spans="1:14">
      <c r="A19">
        <v>2013</v>
      </c>
      <c r="B19">
        <v>100</v>
      </c>
      <c r="C19">
        <v>140</v>
      </c>
      <c r="D19">
        <v>20</v>
      </c>
      <c r="E19">
        <v>55</v>
      </c>
      <c r="F19">
        <v>30</v>
      </c>
      <c r="G19">
        <v>10</v>
      </c>
      <c r="H19">
        <v>122</v>
      </c>
      <c r="I19">
        <v>16</v>
      </c>
      <c r="N19" s="4"/>
    </row>
    <row r="22" spans="1:14">
      <c r="A22" t="s">
        <v>18</v>
      </c>
      <c r="B22">
        <f>B18*C18+D18*E18</f>
        <v>12768</v>
      </c>
      <c r="C22" s="3"/>
      <c r="F22">
        <f>F18*G18+H18*I18</f>
        <v>2248</v>
      </c>
      <c r="G22" s="3"/>
      <c r="J22">
        <f>B22+F22</f>
        <v>15016</v>
      </c>
    </row>
    <row r="23" spans="1:14">
      <c r="B23">
        <f>B18*C19+D18*E19</f>
        <v>12080</v>
      </c>
      <c r="C23" s="3">
        <f>B23/B22</f>
        <v>0.94611528822055135</v>
      </c>
      <c r="F23">
        <f>F18*G19+H18*I19</f>
        <v>2240</v>
      </c>
      <c r="G23" s="3">
        <f>F23/F22</f>
        <v>0.99644128113879005</v>
      </c>
      <c r="J23">
        <f>B23+F23</f>
        <v>14320</v>
      </c>
      <c r="K23">
        <f>J23/J22</f>
        <v>0.95364944059669687</v>
      </c>
    </row>
    <row r="24" spans="1:14">
      <c r="C24" s="3"/>
      <c r="G24" s="3"/>
    </row>
    <row r="25" spans="1:14">
      <c r="A25" t="s">
        <v>19</v>
      </c>
      <c r="B25">
        <f>B19*C18+D19*E18</f>
        <v>15960</v>
      </c>
      <c r="F25">
        <f>F19*G18+H19*I18</f>
        <v>2250</v>
      </c>
      <c r="J25">
        <f>B25+F25</f>
        <v>18210</v>
      </c>
    </row>
    <row r="26" spans="1:14">
      <c r="B26">
        <f>B19*C19+D19*E19</f>
        <v>15100</v>
      </c>
      <c r="C26" s="3">
        <f>B26/B25</f>
        <v>0.94611528822055135</v>
      </c>
      <c r="F26">
        <f>F19*G19+H19*I19</f>
        <v>2252</v>
      </c>
      <c r="G26" s="3">
        <f>F26/F25</f>
        <v>1.0008888888888889</v>
      </c>
      <c r="J26">
        <f>B26+F26</f>
        <v>17352</v>
      </c>
      <c r="K26">
        <f>J26/J25</f>
        <v>0.95288303130148266</v>
      </c>
    </row>
    <row r="28" spans="1:14">
      <c r="C28" s="3"/>
      <c r="G28" s="3"/>
    </row>
    <row r="29" spans="1:14">
      <c r="A29" t="s">
        <v>20</v>
      </c>
      <c r="B29" s="6">
        <f>B26/C29</f>
        <v>15960</v>
      </c>
      <c r="C29" s="3">
        <f>SQRT(C26*C23)</f>
        <v>0.94611528822055135</v>
      </c>
      <c r="F29">
        <f>F26/G29</f>
        <v>2255.0158377650982</v>
      </c>
      <c r="G29" s="3">
        <f>SQRT(G26*G23)</f>
        <v>0.99866260905374071</v>
      </c>
      <c r="J29">
        <f>J26/K29</f>
        <v>18202.681210815339</v>
      </c>
      <c r="K29" s="3">
        <f>SQRT(K26*K23)</f>
        <v>0.95326615892663669</v>
      </c>
    </row>
    <row r="30" spans="1:14">
      <c r="J30">
        <f>B29+F29</f>
        <v>18215.015837765099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Terry Yip</dc:creator>
  <cp:keywords/>
  <dc:description/>
  <cp:lastModifiedBy>Terry Yip</cp:lastModifiedBy>
  <cp:revision/>
  <dcterms:created xsi:type="dcterms:W3CDTF">2023-09-20T04:50:29Z</dcterms:created>
  <dcterms:modified xsi:type="dcterms:W3CDTF">2024-08-02T14:42:49Z</dcterms:modified>
  <cp:category/>
  <cp:contentStatus/>
</cp:coreProperties>
</file>