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erry_yip_utoronto_ca/Documents/Teaching/University of Toronto/202409/ECO209/Mid-term and Assignment/Writing Assignment 1/"/>
    </mc:Choice>
  </mc:AlternateContent>
  <xr:revisionPtr revIDLastSave="133" documentId="8_{3D0FB41A-C492-48F9-8EE5-9E3DF8CDD9D3}" xr6:coauthVersionLast="47" xr6:coauthVersionMax="47" xr10:uidLastSave="{DA322AA5-2E93-4AE8-B8AF-EB03EE38F32A}"/>
  <bookViews>
    <workbookView xWindow="-38510" yWindow="-2730" windowWidth="38620" windowHeight="21100" xr2:uid="{5FE0DFEB-B90F-4902-B397-7FDD2D676612}"/>
  </bookViews>
  <sheets>
    <sheet name="Capital Est" sheetId="1" r:id="rId1"/>
    <sheet name="INV" sheetId="2" r:id="rId2"/>
    <sheet name="GDP" sheetId="3" r:id="rId3"/>
    <sheet name="Pop" sheetId="4" r:id="rId4"/>
    <sheet name="T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5" l="1"/>
  <c r="O52" i="5"/>
  <c r="P52" i="5"/>
  <c r="Q52" i="5"/>
  <c r="R52" i="5"/>
  <c r="S52" i="5"/>
  <c r="T52" i="5"/>
  <c r="U52" i="5"/>
  <c r="V52" i="5"/>
  <c r="W52" i="5"/>
  <c r="X52" i="5"/>
  <c r="O53" i="5"/>
  <c r="P53" i="5"/>
  <c r="Q53" i="5"/>
  <c r="R53" i="5"/>
  <c r="S53" i="5"/>
  <c r="T53" i="5"/>
  <c r="U53" i="5"/>
  <c r="V53" i="5"/>
  <c r="W53" i="5"/>
  <c r="X53" i="5"/>
  <c r="O54" i="5"/>
  <c r="P54" i="5"/>
  <c r="Q54" i="5"/>
  <c r="R54" i="5"/>
  <c r="S54" i="5"/>
  <c r="T54" i="5"/>
  <c r="U54" i="5"/>
  <c r="V54" i="5"/>
  <c r="W54" i="5"/>
  <c r="X54" i="5"/>
  <c r="O55" i="5"/>
  <c r="P55" i="5"/>
  <c r="Q55" i="5"/>
  <c r="R55" i="5"/>
  <c r="S55" i="5"/>
  <c r="T55" i="5"/>
  <c r="U55" i="5"/>
  <c r="V55" i="5"/>
  <c r="W55" i="5"/>
  <c r="X55" i="5"/>
  <c r="O56" i="5"/>
  <c r="P56" i="5"/>
  <c r="Q56" i="5"/>
  <c r="R56" i="5"/>
  <c r="S56" i="5"/>
  <c r="T56" i="5"/>
  <c r="U56" i="5"/>
  <c r="V56" i="5"/>
  <c r="W56" i="5"/>
  <c r="X56" i="5"/>
  <c r="O57" i="5"/>
  <c r="P57" i="5"/>
  <c r="Q57" i="5"/>
  <c r="R57" i="5"/>
  <c r="S57" i="5"/>
  <c r="T57" i="5"/>
  <c r="U57" i="5"/>
  <c r="V57" i="5"/>
  <c r="W57" i="5"/>
  <c r="X57" i="5"/>
  <c r="O58" i="5"/>
  <c r="P58" i="5"/>
  <c r="Q58" i="5"/>
  <c r="R58" i="5"/>
  <c r="S58" i="5"/>
  <c r="T58" i="5"/>
  <c r="U58" i="5"/>
  <c r="V58" i="5"/>
  <c r="W58" i="5"/>
  <c r="X58" i="5"/>
  <c r="O59" i="5"/>
  <c r="P59" i="5"/>
  <c r="Q59" i="5"/>
  <c r="R59" i="5"/>
  <c r="S59" i="5"/>
  <c r="T59" i="5"/>
  <c r="U59" i="5"/>
  <c r="V59" i="5"/>
  <c r="W59" i="5"/>
  <c r="X59" i="5"/>
  <c r="O60" i="5"/>
  <c r="P60" i="5"/>
  <c r="Q60" i="5"/>
  <c r="R60" i="5"/>
  <c r="S60" i="5"/>
  <c r="T60" i="5"/>
  <c r="U60" i="5"/>
  <c r="V60" i="5"/>
  <c r="W60" i="5"/>
  <c r="X60" i="5"/>
  <c r="O61" i="5"/>
  <c r="P61" i="5"/>
  <c r="Q61" i="5"/>
  <c r="R61" i="5"/>
  <c r="S61" i="5"/>
  <c r="T61" i="5"/>
  <c r="U61" i="5"/>
  <c r="V61" i="5"/>
  <c r="W61" i="5"/>
  <c r="X61" i="5"/>
  <c r="O62" i="5"/>
  <c r="P62" i="5"/>
  <c r="Q62" i="5"/>
  <c r="R62" i="5"/>
  <c r="S62" i="5"/>
  <c r="T62" i="5"/>
  <c r="U62" i="5"/>
  <c r="V62" i="5"/>
  <c r="W62" i="5"/>
  <c r="X62" i="5"/>
  <c r="O63" i="5"/>
  <c r="P63" i="5"/>
  <c r="Q63" i="5"/>
  <c r="R63" i="5"/>
  <c r="S63" i="5"/>
  <c r="T63" i="5"/>
  <c r="U63" i="5"/>
  <c r="V63" i="5"/>
  <c r="W63" i="5"/>
  <c r="X63" i="5"/>
  <c r="O64" i="5"/>
  <c r="P64" i="5"/>
  <c r="Q64" i="5"/>
  <c r="R64" i="5"/>
  <c r="S64" i="5"/>
  <c r="T64" i="5"/>
  <c r="U64" i="5"/>
  <c r="V64" i="5"/>
  <c r="W64" i="5"/>
  <c r="X64" i="5"/>
  <c r="O65" i="5"/>
  <c r="P65" i="5"/>
  <c r="Q65" i="5"/>
  <c r="R65" i="5"/>
  <c r="S65" i="5"/>
  <c r="T65" i="5"/>
  <c r="U65" i="5"/>
  <c r="V65" i="5"/>
  <c r="W65" i="5"/>
  <c r="X65" i="5"/>
  <c r="O66" i="5"/>
  <c r="P66" i="5"/>
  <c r="Q66" i="5"/>
  <c r="R66" i="5"/>
  <c r="S66" i="5"/>
  <c r="T66" i="5"/>
  <c r="U66" i="5"/>
  <c r="V66" i="5"/>
  <c r="W66" i="5"/>
  <c r="X66" i="5"/>
  <c r="O67" i="5"/>
  <c r="P67" i="5"/>
  <c r="Q67" i="5"/>
  <c r="R67" i="5"/>
  <c r="S67" i="5"/>
  <c r="T67" i="5"/>
  <c r="U67" i="5"/>
  <c r="V67" i="5"/>
  <c r="W67" i="5"/>
  <c r="X67" i="5"/>
  <c r="O68" i="5"/>
  <c r="P68" i="5"/>
  <c r="Q68" i="5"/>
  <c r="R68" i="5"/>
  <c r="S68" i="5"/>
  <c r="T68" i="5"/>
  <c r="U68" i="5"/>
  <c r="V68" i="5"/>
  <c r="W68" i="5"/>
  <c r="X68" i="5"/>
  <c r="O69" i="5"/>
  <c r="P69" i="5"/>
  <c r="Q69" i="5"/>
  <c r="R69" i="5"/>
  <c r="S69" i="5"/>
  <c r="T69" i="5"/>
  <c r="U69" i="5"/>
  <c r="V69" i="5"/>
  <c r="W69" i="5"/>
  <c r="X69" i="5"/>
  <c r="O70" i="5"/>
  <c r="P70" i="5"/>
  <c r="Q70" i="5"/>
  <c r="R70" i="5"/>
  <c r="S70" i="5"/>
  <c r="T70" i="5"/>
  <c r="U70" i="5"/>
  <c r="V70" i="5"/>
  <c r="W70" i="5"/>
  <c r="X70" i="5"/>
  <c r="O71" i="5"/>
  <c r="P71" i="5"/>
  <c r="Q71" i="5"/>
  <c r="R71" i="5"/>
  <c r="S71" i="5"/>
  <c r="T71" i="5"/>
  <c r="U71" i="5"/>
  <c r="V71" i="5"/>
  <c r="W71" i="5"/>
  <c r="X71" i="5"/>
  <c r="O72" i="5"/>
  <c r="P72" i="5"/>
  <c r="Q72" i="5"/>
  <c r="R72" i="5"/>
  <c r="S72" i="5"/>
  <c r="T72" i="5"/>
  <c r="U72" i="5"/>
  <c r="V72" i="5"/>
  <c r="W72" i="5"/>
  <c r="X72" i="5"/>
  <c r="O73" i="5"/>
  <c r="P73" i="5"/>
  <c r="Q73" i="5"/>
  <c r="R73" i="5"/>
  <c r="S73" i="5"/>
  <c r="T73" i="5"/>
  <c r="U73" i="5"/>
  <c r="V73" i="5"/>
  <c r="W73" i="5"/>
  <c r="X73" i="5"/>
  <c r="O74" i="5"/>
  <c r="P74" i="5"/>
  <c r="Q74" i="5"/>
  <c r="R74" i="5"/>
  <c r="S74" i="5"/>
  <c r="T74" i="5"/>
  <c r="U74" i="5"/>
  <c r="V74" i="5"/>
  <c r="W74" i="5"/>
  <c r="X74" i="5"/>
  <c r="O75" i="5"/>
  <c r="P75" i="5"/>
  <c r="Q75" i="5"/>
  <c r="R75" i="5"/>
  <c r="S75" i="5"/>
  <c r="T75" i="5"/>
  <c r="U75" i="5"/>
  <c r="V75" i="5"/>
  <c r="W75" i="5"/>
  <c r="X75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53" i="5"/>
  <c r="N54" i="5"/>
  <c r="N55" i="5"/>
  <c r="N56" i="5"/>
  <c r="N57" i="5"/>
  <c r="N58" i="5"/>
  <c r="N59" i="5"/>
  <c r="N60" i="5"/>
  <c r="N61" i="5"/>
  <c r="N62" i="5"/>
  <c r="C2" i="5"/>
  <c r="D2" i="5"/>
  <c r="E2" i="5"/>
  <c r="G2" i="5"/>
  <c r="H2" i="5"/>
  <c r="I2" i="5"/>
  <c r="J2" i="5"/>
  <c r="K2" i="5"/>
  <c r="C3" i="5"/>
  <c r="D3" i="5"/>
  <c r="E3" i="5"/>
  <c r="G3" i="5"/>
  <c r="H3" i="5"/>
  <c r="I3" i="5"/>
  <c r="J3" i="5"/>
  <c r="K3" i="5"/>
  <c r="C4" i="5"/>
  <c r="D4" i="5"/>
  <c r="E4" i="5"/>
  <c r="G4" i="5"/>
  <c r="H4" i="5"/>
  <c r="I4" i="5"/>
  <c r="J4" i="5"/>
  <c r="K4" i="5"/>
  <c r="C5" i="5"/>
  <c r="D5" i="5"/>
  <c r="E5" i="5"/>
  <c r="G5" i="5"/>
  <c r="H5" i="5"/>
  <c r="I5" i="5"/>
  <c r="J5" i="5"/>
  <c r="K5" i="5"/>
  <c r="C6" i="5"/>
  <c r="D6" i="5"/>
  <c r="E6" i="5"/>
  <c r="G6" i="5"/>
  <c r="H6" i="5"/>
  <c r="I6" i="5"/>
  <c r="J6" i="5"/>
  <c r="K6" i="5"/>
  <c r="C7" i="5"/>
  <c r="D7" i="5"/>
  <c r="E7" i="5"/>
  <c r="G7" i="5"/>
  <c r="H7" i="5"/>
  <c r="I7" i="5"/>
  <c r="J7" i="5"/>
  <c r="K7" i="5"/>
  <c r="C8" i="5"/>
  <c r="D8" i="5"/>
  <c r="E8" i="5"/>
  <c r="G8" i="5"/>
  <c r="H8" i="5"/>
  <c r="I8" i="5"/>
  <c r="J8" i="5"/>
  <c r="K8" i="5"/>
  <c r="C9" i="5"/>
  <c r="D9" i="5"/>
  <c r="E9" i="5"/>
  <c r="G9" i="5"/>
  <c r="H9" i="5"/>
  <c r="I9" i="5"/>
  <c r="J9" i="5"/>
  <c r="K9" i="5"/>
  <c r="C10" i="5"/>
  <c r="D10" i="5"/>
  <c r="E10" i="5"/>
  <c r="G10" i="5"/>
  <c r="H10" i="5"/>
  <c r="I10" i="5"/>
  <c r="J10" i="5"/>
  <c r="K10" i="5"/>
  <c r="C11" i="5"/>
  <c r="D11" i="5"/>
  <c r="E11" i="5"/>
  <c r="G11" i="5"/>
  <c r="H11" i="5"/>
  <c r="I11" i="5"/>
  <c r="J11" i="5"/>
  <c r="K11" i="5"/>
  <c r="C12" i="5"/>
  <c r="D12" i="5"/>
  <c r="E12" i="5"/>
  <c r="F12" i="5"/>
  <c r="G12" i="5"/>
  <c r="H12" i="5"/>
  <c r="I12" i="5"/>
  <c r="J12" i="5"/>
  <c r="K12" i="5"/>
  <c r="C13" i="5"/>
  <c r="D13" i="5"/>
  <c r="E13" i="5"/>
  <c r="F13" i="5"/>
  <c r="G13" i="5"/>
  <c r="H13" i="5"/>
  <c r="I13" i="5"/>
  <c r="J13" i="5"/>
  <c r="K13" i="5"/>
  <c r="C14" i="5"/>
  <c r="D14" i="5"/>
  <c r="E14" i="5"/>
  <c r="F14" i="5"/>
  <c r="G14" i="5"/>
  <c r="H14" i="5"/>
  <c r="I14" i="5"/>
  <c r="J14" i="5"/>
  <c r="K14" i="5"/>
  <c r="C15" i="5"/>
  <c r="D15" i="5"/>
  <c r="E15" i="5"/>
  <c r="F15" i="5"/>
  <c r="G15" i="5"/>
  <c r="H15" i="5"/>
  <c r="I15" i="5"/>
  <c r="J15" i="5"/>
  <c r="K15" i="5"/>
  <c r="C16" i="5"/>
  <c r="D16" i="5"/>
  <c r="E16" i="5"/>
  <c r="F16" i="5"/>
  <c r="G16" i="5"/>
  <c r="H16" i="5"/>
  <c r="I16" i="5"/>
  <c r="J16" i="5"/>
  <c r="K16" i="5"/>
  <c r="C17" i="5"/>
  <c r="D17" i="5"/>
  <c r="E17" i="5"/>
  <c r="F17" i="5"/>
  <c r="G17" i="5"/>
  <c r="H17" i="5"/>
  <c r="I17" i="5"/>
  <c r="J17" i="5"/>
  <c r="K17" i="5"/>
  <c r="C18" i="5"/>
  <c r="D18" i="5"/>
  <c r="E18" i="5"/>
  <c r="F18" i="5"/>
  <c r="G18" i="5"/>
  <c r="H18" i="5"/>
  <c r="I18" i="5"/>
  <c r="J18" i="5"/>
  <c r="K18" i="5"/>
  <c r="C19" i="5"/>
  <c r="D19" i="5"/>
  <c r="E19" i="5"/>
  <c r="F19" i="5"/>
  <c r="G19" i="5"/>
  <c r="H19" i="5"/>
  <c r="I19" i="5"/>
  <c r="J19" i="5"/>
  <c r="K19" i="5"/>
  <c r="C20" i="5"/>
  <c r="D20" i="5"/>
  <c r="E20" i="5"/>
  <c r="F20" i="5"/>
  <c r="G20" i="5"/>
  <c r="H20" i="5"/>
  <c r="I20" i="5"/>
  <c r="J20" i="5"/>
  <c r="K20" i="5"/>
  <c r="C21" i="5"/>
  <c r="D21" i="5"/>
  <c r="E21" i="5"/>
  <c r="F21" i="5"/>
  <c r="G21" i="5"/>
  <c r="H21" i="5"/>
  <c r="I21" i="5"/>
  <c r="J21" i="5"/>
  <c r="K21" i="5"/>
  <c r="C22" i="5"/>
  <c r="D22" i="5"/>
  <c r="E22" i="5"/>
  <c r="F22" i="5"/>
  <c r="G22" i="5"/>
  <c r="H22" i="5"/>
  <c r="I22" i="5"/>
  <c r="J22" i="5"/>
  <c r="K22" i="5"/>
  <c r="C23" i="5"/>
  <c r="D23" i="5"/>
  <c r="E23" i="5"/>
  <c r="F23" i="5"/>
  <c r="G23" i="5"/>
  <c r="H23" i="5"/>
  <c r="I23" i="5"/>
  <c r="J23" i="5"/>
  <c r="K23" i="5"/>
  <c r="L23" i="5"/>
  <c r="C24" i="5"/>
  <c r="D24" i="5"/>
  <c r="E24" i="5"/>
  <c r="F24" i="5"/>
  <c r="G24" i="5"/>
  <c r="H24" i="5"/>
  <c r="I24" i="5"/>
  <c r="J24" i="5"/>
  <c r="K24" i="5"/>
  <c r="L24" i="5"/>
  <c r="C25" i="5"/>
  <c r="D25" i="5"/>
  <c r="E25" i="5"/>
  <c r="F25" i="5"/>
  <c r="G25" i="5"/>
  <c r="H25" i="5"/>
  <c r="I25" i="5"/>
  <c r="J25" i="5"/>
  <c r="K25" i="5"/>
  <c r="L25" i="5"/>
  <c r="C26" i="5"/>
  <c r="D26" i="5"/>
  <c r="E26" i="5"/>
  <c r="F26" i="5"/>
  <c r="G26" i="5"/>
  <c r="H26" i="5"/>
  <c r="I26" i="5"/>
  <c r="J26" i="5"/>
  <c r="K26" i="5"/>
  <c r="L26" i="5"/>
  <c r="C27" i="5"/>
  <c r="D27" i="5"/>
  <c r="E27" i="5"/>
  <c r="F27" i="5"/>
  <c r="G27" i="5"/>
  <c r="H27" i="5"/>
  <c r="I27" i="5"/>
  <c r="J27" i="5"/>
  <c r="K27" i="5"/>
  <c r="L27" i="5"/>
  <c r="C28" i="5"/>
  <c r="D28" i="5"/>
  <c r="E28" i="5"/>
  <c r="F28" i="5"/>
  <c r="G28" i="5"/>
  <c r="H28" i="5"/>
  <c r="I28" i="5"/>
  <c r="J28" i="5"/>
  <c r="K28" i="5"/>
  <c r="L28" i="5"/>
  <c r="C29" i="5"/>
  <c r="D29" i="5"/>
  <c r="E29" i="5"/>
  <c r="F29" i="5"/>
  <c r="G29" i="5"/>
  <c r="H29" i="5"/>
  <c r="I29" i="5"/>
  <c r="J29" i="5"/>
  <c r="K29" i="5"/>
  <c r="L29" i="5"/>
  <c r="C30" i="5"/>
  <c r="D30" i="5"/>
  <c r="E30" i="5"/>
  <c r="F30" i="5"/>
  <c r="G30" i="5"/>
  <c r="H30" i="5"/>
  <c r="I30" i="5"/>
  <c r="J30" i="5"/>
  <c r="K30" i="5"/>
  <c r="L30" i="5"/>
  <c r="C31" i="5"/>
  <c r="D31" i="5"/>
  <c r="E31" i="5"/>
  <c r="F31" i="5"/>
  <c r="G31" i="5"/>
  <c r="H31" i="5"/>
  <c r="I31" i="5"/>
  <c r="J31" i="5"/>
  <c r="K31" i="5"/>
  <c r="L31" i="5"/>
  <c r="C32" i="5"/>
  <c r="D32" i="5"/>
  <c r="E32" i="5"/>
  <c r="F32" i="5"/>
  <c r="G32" i="5"/>
  <c r="H32" i="5"/>
  <c r="I32" i="5"/>
  <c r="J32" i="5"/>
  <c r="K32" i="5"/>
  <c r="L32" i="5"/>
  <c r="C33" i="5"/>
  <c r="D33" i="5"/>
  <c r="E33" i="5"/>
  <c r="F33" i="5"/>
  <c r="G33" i="5"/>
  <c r="H33" i="5"/>
  <c r="I33" i="5"/>
  <c r="J33" i="5"/>
  <c r="K33" i="5"/>
  <c r="L33" i="5"/>
  <c r="C34" i="5"/>
  <c r="D34" i="5"/>
  <c r="E34" i="5"/>
  <c r="F34" i="5"/>
  <c r="G34" i="5"/>
  <c r="H34" i="5"/>
  <c r="I34" i="5"/>
  <c r="J34" i="5"/>
  <c r="K34" i="5"/>
  <c r="L34" i="5"/>
  <c r="C35" i="5"/>
  <c r="D35" i="5"/>
  <c r="E35" i="5"/>
  <c r="F35" i="5"/>
  <c r="G35" i="5"/>
  <c r="H35" i="5"/>
  <c r="I35" i="5"/>
  <c r="J35" i="5"/>
  <c r="K35" i="5"/>
  <c r="L35" i="5"/>
  <c r="C36" i="5"/>
  <c r="D36" i="5"/>
  <c r="E36" i="5"/>
  <c r="F36" i="5"/>
  <c r="G36" i="5"/>
  <c r="H36" i="5"/>
  <c r="I36" i="5"/>
  <c r="J36" i="5"/>
  <c r="K36" i="5"/>
  <c r="L36" i="5"/>
  <c r="C37" i="5"/>
  <c r="D37" i="5"/>
  <c r="E37" i="5"/>
  <c r="F37" i="5"/>
  <c r="G37" i="5"/>
  <c r="H37" i="5"/>
  <c r="I37" i="5"/>
  <c r="J37" i="5"/>
  <c r="K37" i="5"/>
  <c r="L37" i="5"/>
  <c r="C38" i="5"/>
  <c r="D38" i="5"/>
  <c r="E38" i="5"/>
  <c r="F38" i="5"/>
  <c r="G38" i="5"/>
  <c r="H38" i="5"/>
  <c r="I38" i="5"/>
  <c r="J38" i="5"/>
  <c r="K38" i="5"/>
  <c r="L38" i="5"/>
  <c r="C39" i="5"/>
  <c r="D39" i="5"/>
  <c r="E39" i="5"/>
  <c r="F39" i="5"/>
  <c r="G39" i="5"/>
  <c r="H39" i="5"/>
  <c r="I39" i="5"/>
  <c r="J39" i="5"/>
  <c r="K39" i="5"/>
  <c r="L39" i="5"/>
  <c r="C40" i="5"/>
  <c r="D40" i="5"/>
  <c r="E40" i="5"/>
  <c r="F40" i="5"/>
  <c r="G40" i="5"/>
  <c r="H40" i="5"/>
  <c r="I40" i="5"/>
  <c r="J40" i="5"/>
  <c r="K40" i="5"/>
  <c r="L40" i="5"/>
  <c r="C41" i="5"/>
  <c r="D41" i="5"/>
  <c r="E41" i="5"/>
  <c r="F41" i="5"/>
  <c r="G41" i="5"/>
  <c r="H41" i="5"/>
  <c r="I41" i="5"/>
  <c r="J41" i="5"/>
  <c r="K41" i="5"/>
  <c r="L41" i="5"/>
  <c r="C42" i="5"/>
  <c r="D42" i="5"/>
  <c r="E42" i="5"/>
  <c r="F42" i="5"/>
  <c r="G42" i="5"/>
  <c r="H42" i="5"/>
  <c r="I42" i="5"/>
  <c r="J42" i="5"/>
  <c r="K42" i="5"/>
  <c r="L42" i="5"/>
  <c r="C43" i="5"/>
  <c r="D43" i="5"/>
  <c r="E43" i="5"/>
  <c r="F43" i="5"/>
  <c r="G43" i="5"/>
  <c r="H43" i="5"/>
  <c r="I43" i="5"/>
  <c r="J43" i="5"/>
  <c r="K43" i="5"/>
  <c r="L43" i="5"/>
  <c r="C44" i="5"/>
  <c r="D44" i="5"/>
  <c r="E44" i="5"/>
  <c r="F44" i="5"/>
  <c r="G44" i="5"/>
  <c r="H44" i="5"/>
  <c r="I44" i="5"/>
  <c r="J44" i="5"/>
  <c r="K44" i="5"/>
  <c r="L44" i="5"/>
  <c r="C45" i="5"/>
  <c r="D45" i="5"/>
  <c r="E45" i="5"/>
  <c r="F45" i="5"/>
  <c r="G45" i="5"/>
  <c r="H45" i="5"/>
  <c r="I45" i="5"/>
  <c r="J45" i="5"/>
  <c r="K45" i="5"/>
  <c r="L45" i="5"/>
  <c r="C46" i="5"/>
  <c r="D46" i="5"/>
  <c r="E46" i="5"/>
  <c r="F46" i="5"/>
  <c r="G46" i="5"/>
  <c r="H46" i="5"/>
  <c r="I46" i="5"/>
  <c r="J46" i="5"/>
  <c r="K46" i="5"/>
  <c r="L46" i="5"/>
  <c r="C47" i="5"/>
  <c r="D47" i="5"/>
  <c r="E47" i="5"/>
  <c r="F47" i="5"/>
  <c r="G47" i="5"/>
  <c r="H47" i="5"/>
  <c r="I47" i="5"/>
  <c r="J47" i="5"/>
  <c r="K47" i="5"/>
  <c r="L47" i="5"/>
  <c r="C48" i="5"/>
  <c r="D48" i="5"/>
  <c r="E48" i="5"/>
  <c r="F48" i="5"/>
  <c r="G48" i="5"/>
  <c r="H48" i="5"/>
  <c r="I48" i="5"/>
  <c r="J48" i="5"/>
  <c r="K48" i="5"/>
  <c r="L48" i="5"/>
  <c r="C49" i="5"/>
  <c r="D49" i="5"/>
  <c r="E49" i="5"/>
  <c r="F49" i="5"/>
  <c r="G49" i="5"/>
  <c r="H49" i="5"/>
  <c r="I49" i="5"/>
  <c r="J49" i="5"/>
  <c r="K49" i="5"/>
  <c r="L49" i="5"/>
  <c r="C50" i="5"/>
  <c r="D50" i="5"/>
  <c r="E50" i="5"/>
  <c r="F50" i="5"/>
  <c r="G50" i="5"/>
  <c r="H50" i="5"/>
  <c r="I50" i="5"/>
  <c r="J50" i="5"/>
  <c r="K50" i="5"/>
  <c r="L50" i="5"/>
  <c r="C51" i="5"/>
  <c r="D51" i="5"/>
  <c r="E51" i="5"/>
  <c r="F51" i="5"/>
  <c r="G51" i="5"/>
  <c r="H51" i="5"/>
  <c r="I51" i="5"/>
  <c r="J51" i="5"/>
  <c r="K51" i="5"/>
  <c r="L51" i="5"/>
  <c r="C52" i="5"/>
  <c r="D52" i="5"/>
  <c r="E52" i="5"/>
  <c r="F52" i="5"/>
  <c r="G52" i="5"/>
  <c r="H52" i="5"/>
  <c r="I52" i="5"/>
  <c r="J52" i="5"/>
  <c r="K52" i="5"/>
  <c r="L52" i="5"/>
  <c r="C53" i="5"/>
  <c r="D53" i="5"/>
  <c r="E53" i="5"/>
  <c r="F53" i="5"/>
  <c r="G53" i="5"/>
  <c r="H53" i="5"/>
  <c r="I53" i="5"/>
  <c r="J53" i="5"/>
  <c r="K53" i="5"/>
  <c r="L53" i="5"/>
  <c r="C54" i="5"/>
  <c r="D54" i="5"/>
  <c r="E54" i="5"/>
  <c r="F54" i="5"/>
  <c r="G54" i="5"/>
  <c r="H54" i="5"/>
  <c r="I54" i="5"/>
  <c r="J54" i="5"/>
  <c r="K54" i="5"/>
  <c r="L54" i="5"/>
  <c r="C55" i="5"/>
  <c r="D55" i="5"/>
  <c r="E55" i="5"/>
  <c r="F55" i="5"/>
  <c r="G55" i="5"/>
  <c r="H55" i="5"/>
  <c r="I55" i="5"/>
  <c r="J55" i="5"/>
  <c r="K55" i="5"/>
  <c r="L55" i="5"/>
  <c r="C56" i="5"/>
  <c r="D56" i="5"/>
  <c r="E56" i="5"/>
  <c r="F56" i="5"/>
  <c r="G56" i="5"/>
  <c r="H56" i="5"/>
  <c r="I56" i="5"/>
  <c r="J56" i="5"/>
  <c r="K56" i="5"/>
  <c r="L56" i="5"/>
  <c r="C57" i="5"/>
  <c r="D57" i="5"/>
  <c r="E57" i="5"/>
  <c r="F57" i="5"/>
  <c r="G57" i="5"/>
  <c r="H57" i="5"/>
  <c r="I57" i="5"/>
  <c r="J57" i="5"/>
  <c r="K57" i="5"/>
  <c r="L57" i="5"/>
  <c r="C58" i="5"/>
  <c r="D58" i="5"/>
  <c r="E58" i="5"/>
  <c r="F58" i="5"/>
  <c r="G58" i="5"/>
  <c r="H58" i="5"/>
  <c r="I58" i="5"/>
  <c r="J58" i="5"/>
  <c r="K58" i="5"/>
  <c r="L58" i="5"/>
  <c r="C59" i="5"/>
  <c r="D59" i="5"/>
  <c r="E59" i="5"/>
  <c r="F59" i="5"/>
  <c r="G59" i="5"/>
  <c r="H59" i="5"/>
  <c r="I59" i="5"/>
  <c r="J59" i="5"/>
  <c r="K59" i="5"/>
  <c r="L59" i="5"/>
  <c r="C60" i="5"/>
  <c r="D60" i="5"/>
  <c r="E60" i="5"/>
  <c r="F60" i="5"/>
  <c r="G60" i="5"/>
  <c r="H60" i="5"/>
  <c r="I60" i="5"/>
  <c r="J60" i="5"/>
  <c r="K60" i="5"/>
  <c r="L60" i="5"/>
  <c r="C61" i="5"/>
  <c r="D61" i="5"/>
  <c r="E61" i="5"/>
  <c r="F61" i="5"/>
  <c r="G61" i="5"/>
  <c r="H61" i="5"/>
  <c r="I61" i="5"/>
  <c r="J61" i="5"/>
  <c r="K61" i="5"/>
  <c r="L61" i="5"/>
  <c r="C62" i="5"/>
  <c r="D62" i="5"/>
  <c r="E62" i="5"/>
  <c r="F62" i="5"/>
  <c r="G62" i="5"/>
  <c r="H62" i="5"/>
  <c r="I62" i="5"/>
  <c r="J62" i="5"/>
  <c r="K62" i="5"/>
  <c r="L62" i="5"/>
  <c r="C63" i="5"/>
  <c r="D63" i="5"/>
  <c r="E63" i="5"/>
  <c r="F63" i="5"/>
  <c r="G63" i="5"/>
  <c r="H63" i="5"/>
  <c r="I63" i="5"/>
  <c r="J63" i="5"/>
  <c r="K63" i="5"/>
  <c r="L63" i="5"/>
  <c r="C64" i="5"/>
  <c r="D64" i="5"/>
  <c r="E64" i="5"/>
  <c r="F64" i="5"/>
  <c r="G64" i="5"/>
  <c r="H64" i="5"/>
  <c r="I64" i="5"/>
  <c r="J64" i="5"/>
  <c r="K64" i="5"/>
  <c r="L64" i="5"/>
  <c r="C65" i="5"/>
  <c r="D65" i="5"/>
  <c r="E65" i="5"/>
  <c r="F65" i="5"/>
  <c r="G65" i="5"/>
  <c r="H65" i="5"/>
  <c r="I65" i="5"/>
  <c r="J65" i="5"/>
  <c r="K65" i="5"/>
  <c r="L65" i="5"/>
  <c r="C66" i="5"/>
  <c r="D66" i="5"/>
  <c r="E66" i="5"/>
  <c r="F66" i="5"/>
  <c r="G66" i="5"/>
  <c r="H66" i="5"/>
  <c r="I66" i="5"/>
  <c r="J66" i="5"/>
  <c r="K66" i="5"/>
  <c r="L66" i="5"/>
  <c r="C67" i="5"/>
  <c r="D67" i="5"/>
  <c r="E67" i="5"/>
  <c r="F67" i="5"/>
  <c r="G67" i="5"/>
  <c r="H67" i="5"/>
  <c r="I67" i="5"/>
  <c r="J67" i="5"/>
  <c r="K67" i="5"/>
  <c r="L67" i="5"/>
  <c r="C68" i="5"/>
  <c r="D68" i="5"/>
  <c r="E68" i="5"/>
  <c r="F68" i="5"/>
  <c r="G68" i="5"/>
  <c r="H68" i="5"/>
  <c r="I68" i="5"/>
  <c r="J68" i="5"/>
  <c r="K68" i="5"/>
  <c r="L68" i="5"/>
  <c r="C69" i="5"/>
  <c r="D69" i="5"/>
  <c r="E69" i="5"/>
  <c r="F69" i="5"/>
  <c r="G69" i="5"/>
  <c r="H69" i="5"/>
  <c r="I69" i="5"/>
  <c r="J69" i="5"/>
  <c r="K69" i="5"/>
  <c r="L69" i="5"/>
  <c r="C70" i="5"/>
  <c r="D70" i="5"/>
  <c r="E70" i="5"/>
  <c r="F70" i="5"/>
  <c r="G70" i="5"/>
  <c r="H70" i="5"/>
  <c r="I70" i="5"/>
  <c r="J70" i="5"/>
  <c r="K70" i="5"/>
  <c r="L70" i="5"/>
  <c r="C71" i="5"/>
  <c r="D71" i="5"/>
  <c r="E71" i="5"/>
  <c r="F71" i="5"/>
  <c r="G71" i="5"/>
  <c r="H71" i="5"/>
  <c r="I71" i="5"/>
  <c r="J71" i="5"/>
  <c r="K71" i="5"/>
  <c r="L71" i="5"/>
  <c r="C72" i="5"/>
  <c r="D72" i="5"/>
  <c r="E72" i="5"/>
  <c r="F72" i="5"/>
  <c r="G72" i="5"/>
  <c r="H72" i="5"/>
  <c r="I72" i="5"/>
  <c r="J72" i="5"/>
  <c r="K72" i="5"/>
  <c r="L72" i="5"/>
  <c r="C73" i="5"/>
  <c r="D73" i="5"/>
  <c r="E73" i="5"/>
  <c r="F73" i="5"/>
  <c r="G73" i="5"/>
  <c r="H73" i="5"/>
  <c r="I73" i="5"/>
  <c r="J73" i="5"/>
  <c r="K73" i="5"/>
  <c r="L73" i="5"/>
  <c r="C74" i="5"/>
  <c r="D74" i="5"/>
  <c r="E74" i="5"/>
  <c r="F74" i="5"/>
  <c r="G74" i="5"/>
  <c r="H74" i="5"/>
  <c r="I74" i="5"/>
  <c r="J74" i="5"/>
  <c r="K74" i="5"/>
  <c r="L74" i="5"/>
  <c r="C75" i="5"/>
  <c r="D75" i="5"/>
  <c r="E75" i="5"/>
  <c r="F75" i="5"/>
  <c r="G75" i="5"/>
  <c r="H75" i="5"/>
  <c r="I75" i="5"/>
  <c r="J75" i="5"/>
  <c r="K75" i="5"/>
  <c r="L75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2" i="5"/>
  <c r="G51" i="1"/>
  <c r="H51" i="1"/>
  <c r="I51" i="1"/>
  <c r="J51" i="1"/>
  <c r="K51" i="1"/>
  <c r="G52" i="1"/>
  <c r="H52" i="1"/>
  <c r="I52" i="1"/>
  <c r="J52" i="1"/>
  <c r="K52" i="1"/>
  <c r="G53" i="1"/>
  <c r="H53" i="1"/>
  <c r="I53" i="1"/>
  <c r="J53" i="1"/>
  <c r="K53" i="1"/>
  <c r="G54" i="1"/>
  <c r="H54" i="1"/>
  <c r="I54" i="1"/>
  <c r="J54" i="1"/>
  <c r="K54" i="1"/>
  <c r="G55" i="1"/>
  <c r="H55" i="1"/>
  <c r="I55" i="1"/>
  <c r="J55" i="1"/>
  <c r="K55" i="1"/>
  <c r="G56" i="1"/>
  <c r="H56" i="1"/>
  <c r="I56" i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J56" i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K56" i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G57" i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H57" i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G48" i="1"/>
  <c r="H48" i="1"/>
  <c r="G49" i="1"/>
  <c r="H49" i="1"/>
  <c r="G50" i="1"/>
  <c r="H50" i="1"/>
  <c r="I47" i="1"/>
  <c r="I48" i="1"/>
  <c r="I49" i="1"/>
  <c r="I50" i="1"/>
  <c r="J46" i="1"/>
  <c r="J47" i="1" s="1"/>
  <c r="J48" i="1" s="1"/>
  <c r="J49" i="1" s="1"/>
  <c r="J50" i="1" s="1"/>
  <c r="K50" i="1"/>
  <c r="J45" i="1"/>
  <c r="I46" i="1"/>
  <c r="H47" i="1"/>
  <c r="G47" i="1"/>
  <c r="F12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11" i="1"/>
  <c r="E48" i="1"/>
  <c r="E49" i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47" i="1"/>
  <c r="D44" i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43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13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12" i="1"/>
  <c r="L24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10" i="1"/>
  <c r="B11" i="1"/>
  <c r="C11" i="1"/>
  <c r="D11" i="1"/>
  <c r="E11" i="1"/>
  <c r="G11" i="1"/>
  <c r="H11" i="1"/>
  <c r="I11" i="1"/>
  <c r="J11" i="1"/>
  <c r="C12" i="1"/>
  <c r="D12" i="1"/>
  <c r="E12" i="1"/>
  <c r="G12" i="1"/>
  <c r="H12" i="1"/>
  <c r="I12" i="1"/>
  <c r="J12" i="1"/>
  <c r="D13" i="1"/>
  <c r="E13" i="1"/>
  <c r="G13" i="1"/>
  <c r="H13" i="1"/>
  <c r="I13" i="1"/>
  <c r="J13" i="1"/>
  <c r="D14" i="1"/>
  <c r="E14" i="1"/>
  <c r="G14" i="1"/>
  <c r="H14" i="1"/>
  <c r="I14" i="1"/>
  <c r="J14" i="1"/>
  <c r="D15" i="1"/>
  <c r="E15" i="1"/>
  <c r="G15" i="1"/>
  <c r="H15" i="1"/>
  <c r="I15" i="1"/>
  <c r="J15" i="1"/>
  <c r="D16" i="1"/>
  <c r="E16" i="1"/>
  <c r="G16" i="1"/>
  <c r="H16" i="1"/>
  <c r="I16" i="1"/>
  <c r="J16" i="1"/>
  <c r="D17" i="1"/>
  <c r="E17" i="1"/>
  <c r="G17" i="1"/>
  <c r="H17" i="1"/>
  <c r="I17" i="1"/>
  <c r="J17" i="1"/>
  <c r="D18" i="1"/>
  <c r="E18" i="1"/>
  <c r="G18" i="1"/>
  <c r="H18" i="1"/>
  <c r="I18" i="1"/>
  <c r="J18" i="1"/>
  <c r="D19" i="1"/>
  <c r="E19" i="1"/>
  <c r="G19" i="1"/>
  <c r="H19" i="1"/>
  <c r="I19" i="1"/>
  <c r="J19" i="1"/>
  <c r="D20" i="1"/>
  <c r="E20" i="1"/>
  <c r="G20" i="1"/>
  <c r="H20" i="1"/>
  <c r="I20" i="1"/>
  <c r="J20" i="1"/>
  <c r="D21" i="1"/>
  <c r="E21" i="1"/>
  <c r="G21" i="1"/>
  <c r="H21" i="1"/>
  <c r="I21" i="1"/>
  <c r="J21" i="1"/>
  <c r="D22" i="1"/>
  <c r="E22" i="1"/>
  <c r="G22" i="1"/>
  <c r="H22" i="1"/>
  <c r="I22" i="1"/>
  <c r="J22" i="1"/>
  <c r="D23" i="1"/>
  <c r="E23" i="1"/>
  <c r="G23" i="1"/>
  <c r="H23" i="1"/>
  <c r="I23" i="1"/>
  <c r="J23" i="1"/>
  <c r="D24" i="1"/>
  <c r="E24" i="1"/>
  <c r="G24" i="1"/>
  <c r="H24" i="1"/>
  <c r="I24" i="1"/>
  <c r="J24" i="1"/>
  <c r="D25" i="1"/>
  <c r="E25" i="1"/>
  <c r="G25" i="1"/>
  <c r="H25" i="1"/>
  <c r="I25" i="1"/>
  <c r="J25" i="1"/>
  <c r="D26" i="1"/>
  <c r="E26" i="1"/>
  <c r="G26" i="1"/>
  <c r="H26" i="1"/>
  <c r="I26" i="1"/>
  <c r="J26" i="1"/>
  <c r="D27" i="1"/>
  <c r="E27" i="1"/>
  <c r="G27" i="1"/>
  <c r="H27" i="1"/>
  <c r="I27" i="1"/>
  <c r="J27" i="1"/>
  <c r="D28" i="1"/>
  <c r="E28" i="1"/>
  <c r="G28" i="1"/>
  <c r="H28" i="1"/>
  <c r="I28" i="1"/>
  <c r="J28" i="1"/>
  <c r="D29" i="1"/>
  <c r="E29" i="1"/>
  <c r="G29" i="1"/>
  <c r="H29" i="1"/>
  <c r="I29" i="1"/>
  <c r="J29" i="1"/>
  <c r="D30" i="1"/>
  <c r="E30" i="1"/>
  <c r="G30" i="1"/>
  <c r="H30" i="1"/>
  <c r="I30" i="1"/>
  <c r="J30" i="1"/>
  <c r="D31" i="1"/>
  <c r="E31" i="1"/>
  <c r="G31" i="1"/>
  <c r="H31" i="1"/>
  <c r="I31" i="1"/>
  <c r="J31" i="1"/>
  <c r="D32" i="1"/>
  <c r="E32" i="1"/>
  <c r="G32" i="1"/>
  <c r="H32" i="1"/>
  <c r="I32" i="1"/>
  <c r="J32" i="1"/>
  <c r="D33" i="1"/>
  <c r="E33" i="1"/>
  <c r="G33" i="1"/>
  <c r="H33" i="1"/>
  <c r="I33" i="1"/>
  <c r="J33" i="1"/>
  <c r="D34" i="1"/>
  <c r="E34" i="1"/>
  <c r="G34" i="1"/>
  <c r="H34" i="1"/>
  <c r="I34" i="1"/>
  <c r="J34" i="1"/>
  <c r="D35" i="1"/>
  <c r="E35" i="1"/>
  <c r="G35" i="1"/>
  <c r="H35" i="1"/>
  <c r="I35" i="1"/>
  <c r="J35" i="1"/>
  <c r="D36" i="1"/>
  <c r="E36" i="1"/>
  <c r="G36" i="1"/>
  <c r="H36" i="1"/>
  <c r="I36" i="1"/>
  <c r="J36" i="1"/>
  <c r="D37" i="1"/>
  <c r="E37" i="1"/>
  <c r="G37" i="1"/>
  <c r="H37" i="1"/>
  <c r="I37" i="1"/>
  <c r="J37" i="1"/>
  <c r="D38" i="1"/>
  <c r="E38" i="1"/>
  <c r="G38" i="1"/>
  <c r="H38" i="1"/>
  <c r="I38" i="1"/>
  <c r="J38" i="1"/>
  <c r="D39" i="1"/>
  <c r="E39" i="1"/>
  <c r="G39" i="1"/>
  <c r="H39" i="1"/>
  <c r="I39" i="1"/>
  <c r="J39" i="1"/>
  <c r="D40" i="1"/>
  <c r="E40" i="1"/>
  <c r="G40" i="1"/>
  <c r="H40" i="1"/>
  <c r="I40" i="1"/>
  <c r="J40" i="1"/>
  <c r="D41" i="1"/>
  <c r="E41" i="1"/>
  <c r="G41" i="1"/>
  <c r="H41" i="1"/>
  <c r="I41" i="1"/>
  <c r="J41" i="1"/>
  <c r="D42" i="1"/>
  <c r="E42" i="1"/>
  <c r="G42" i="1"/>
  <c r="H42" i="1"/>
  <c r="I42" i="1"/>
  <c r="J42" i="1"/>
  <c r="E43" i="1"/>
  <c r="G43" i="1"/>
  <c r="H43" i="1"/>
  <c r="I43" i="1"/>
  <c r="J43" i="1"/>
  <c r="E44" i="1"/>
  <c r="G44" i="1"/>
  <c r="H44" i="1"/>
  <c r="I44" i="1"/>
  <c r="J44" i="1"/>
  <c r="E45" i="1"/>
  <c r="G45" i="1"/>
  <c r="H45" i="1"/>
  <c r="I45" i="1"/>
  <c r="E46" i="1"/>
  <c r="G46" i="1"/>
  <c r="H46" i="1"/>
  <c r="C10" i="1"/>
  <c r="D10" i="1"/>
  <c r="E10" i="1"/>
  <c r="F10" i="1"/>
  <c r="G10" i="1"/>
  <c r="H10" i="1"/>
  <c r="I10" i="1"/>
  <c r="J10" i="1"/>
  <c r="B10" i="1"/>
  <c r="E6" i="1"/>
  <c r="F6" i="1"/>
  <c r="G6" i="1"/>
  <c r="H6" i="1"/>
  <c r="I6" i="1"/>
  <c r="J6" i="1"/>
  <c r="K6" i="1"/>
  <c r="E7" i="1"/>
  <c r="F7" i="1"/>
  <c r="G7" i="1"/>
  <c r="H7" i="1"/>
  <c r="I7" i="1"/>
  <c r="J7" i="1"/>
  <c r="K7" i="1"/>
  <c r="E8" i="1"/>
  <c r="F8" i="1"/>
  <c r="G8" i="1"/>
  <c r="H8" i="1"/>
  <c r="I8" i="1"/>
  <c r="J8" i="1"/>
  <c r="K8" i="1"/>
  <c r="E9" i="1"/>
  <c r="F9" i="1"/>
  <c r="G9" i="1"/>
  <c r="H9" i="1"/>
  <c r="I9" i="1"/>
  <c r="J9" i="1"/>
  <c r="K9" i="1"/>
  <c r="D7" i="1"/>
  <c r="D8" i="1"/>
  <c r="D9" i="1"/>
  <c r="D6" i="1"/>
  <c r="B3" i="1"/>
  <c r="B4" i="1"/>
  <c r="B5" i="1"/>
  <c r="B6" i="1"/>
  <c r="B7" i="1"/>
  <c r="B8" i="1"/>
  <c r="B9" i="1"/>
  <c r="B2" i="1"/>
  <c r="L25" i="1"/>
  <c r="L26" i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23" i="1"/>
  <c r="L23" i="2"/>
  <c r="L22" i="2"/>
  <c r="L21" i="2"/>
  <c r="L20" i="2"/>
  <c r="L19" i="2"/>
  <c r="L18" i="2"/>
  <c r="L17" i="2"/>
  <c r="L16" i="2"/>
  <c r="L15" i="2"/>
  <c r="L14" i="2"/>
  <c r="L13" i="2"/>
  <c r="L12" i="2"/>
  <c r="L11" i="2"/>
</calcChain>
</file>

<file path=xl/sharedStrings.xml><?xml version="1.0" encoding="utf-8"?>
<sst xmlns="http://schemas.openxmlformats.org/spreadsheetml/2006/main" count="60" uniqueCount="56">
  <si>
    <t>DATE</t>
  </si>
  <si>
    <t>NFIRXDCAUA</t>
  </si>
  <si>
    <t>NFIRXDCCAA</t>
  </si>
  <si>
    <t>NFIRXDCDEA</t>
  </si>
  <si>
    <t>NFIRXDCESA</t>
  </si>
  <si>
    <t>NFIRXDCFRA</t>
  </si>
  <si>
    <t>NFIRXDCGBA</t>
  </si>
  <si>
    <t>NFIRXDCITA</t>
  </si>
  <si>
    <t>NFIRXDCJPA</t>
  </si>
  <si>
    <t>NFIRXDCMXA</t>
  </si>
  <si>
    <t>NFIRXDCTRA</t>
  </si>
  <si>
    <t>NFIRXDCUSA</t>
  </si>
  <si>
    <t>NGDPRXDCAUA</t>
  </si>
  <si>
    <t>NGDPRXDCCAA</t>
  </si>
  <si>
    <t>NGDPRXDCDEA</t>
  </si>
  <si>
    <t>NGDPRXDCESA</t>
  </si>
  <si>
    <t>NGDPRXDCFRA</t>
  </si>
  <si>
    <t>NGDPRXDCGBA</t>
  </si>
  <si>
    <t>NGDPRXDCITA</t>
  </si>
  <si>
    <t>NGDPRXDCJPA</t>
  </si>
  <si>
    <t>NGDPRXDCMXA</t>
  </si>
  <si>
    <t>NGDPRXDCTRA</t>
  </si>
  <si>
    <t>NGDPRXDCUSA</t>
  </si>
  <si>
    <t xml:space="preserve">K_Australia </t>
  </si>
  <si>
    <t>K_Canada</t>
  </si>
  <si>
    <t>K_France</t>
  </si>
  <si>
    <t>K_Estonia</t>
  </si>
  <si>
    <t>K_Germany</t>
  </si>
  <si>
    <t>K_GB</t>
  </si>
  <si>
    <t>K_Italy</t>
  </si>
  <si>
    <t>K_Japan</t>
  </si>
  <si>
    <t>K_Mexico</t>
  </si>
  <si>
    <t>K_Turkey</t>
  </si>
  <si>
    <t>K_US</t>
  </si>
  <si>
    <t>POPTOTAUA647NWDB</t>
  </si>
  <si>
    <t>POPTOTCAA647NWDB</t>
  </si>
  <si>
    <t>POPTOTDEA647NWDB</t>
  </si>
  <si>
    <t>POPTOTEEA647NWDB</t>
  </si>
  <si>
    <t>POPTOTFRA647NWDB</t>
  </si>
  <si>
    <t>POPTOTGBA647NWDB</t>
  </si>
  <si>
    <t>POPTOTITA647NWDB</t>
  </si>
  <si>
    <t>POPTOTJPA647NWDB</t>
  </si>
  <si>
    <t>POPTOTMXA647NWDB</t>
  </si>
  <si>
    <t>POPTOTTRA647NWDB</t>
  </si>
  <si>
    <t>POPTOTUSA647NWDB</t>
  </si>
  <si>
    <t xml:space="preserve">A_Australia </t>
  </si>
  <si>
    <t>A_Canada</t>
  </si>
  <si>
    <t>A_Germany</t>
  </si>
  <si>
    <t>A_Estonia</t>
  </si>
  <si>
    <t>A_France</t>
  </si>
  <si>
    <t>A_GB</t>
  </si>
  <si>
    <t>A_Italy</t>
  </si>
  <si>
    <t>A_Japan</t>
  </si>
  <si>
    <t>A_Mexico</t>
  </si>
  <si>
    <t>A_Turkey</t>
  </si>
  <si>
    <t>A_US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</si>
</sst>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"/>
    <numFmt numFmtId="165" formatCode="0.000000000"/>
    <numFmt numFmtId="166" formatCode="0.0000000000"/>
    <numFmt numFmtId="167" formatCode="0.00000"/>
    <numFmt numFmtId="168" formatCode="0.00000000"/>
    <numFmt numFmtId="169" formatCode="0.0000"/>
    <numFmt numFmtId="170" formatCode="0.000000"/>
    <numFmt numFmtId="171" formatCode="0.0000000"/>
    <numFmt numFmtId="172" formatCode="0.00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164" fontId="1" fillId="0" borderId="0" xfId="1" applyNumberFormat="1"/>
    <xf numFmtId="165" fontId="1" fillId="0" borderId="0" xfId="1" applyNumberFormat="1"/>
    <xf numFmtId="0" fontId="1" fillId="0" borderId="0" xfId="1" applyAlignment="1">
      <alignment horizontal="right"/>
    </xf>
    <xf numFmtId="1" fontId="1" fillId="0" borderId="0" xfId="1" applyNumberFormat="1"/>
    <xf numFmtId="166" fontId="1" fillId="0" borderId="0" xfId="1" applyNumberFormat="1"/>
    <xf numFmtId="167" fontId="1" fillId="0" borderId="0" xfId="1" applyNumberFormat="1"/>
    <xf numFmtId="168" fontId="1" fillId="0" borderId="0" xfId="1" applyNumberFormat="1"/>
    <xf numFmtId="169" fontId="1" fillId="0" borderId="0" xfId="1" applyNumberFormat="1"/>
    <xf numFmtId="170" fontId="1" fillId="0" borderId="0" xfId="1" applyNumberFormat="1"/>
    <xf numFmtId="171" fontId="1" fillId="0" borderId="0" xfId="1" applyNumberFormat="1"/>
    <xf numFmtId="2" fontId="1" fillId="0" borderId="0" xfId="1" applyNumberFormat="1"/>
    <xf numFmtId="1" fontId="0" fillId="0" borderId="0" xfId="0" applyNumberFormat="1"/>
    <xf numFmtId="172" fontId="0" fillId="0" borderId="0" xfId="0" applyNumberFormat="1"/>
  </cellXfs>
  <cellStyles count="2">
    <cellStyle name="Normal" xfId="0" builtinId="0"/>
    <cellStyle name="Normal 2" xfId="1" xr:uid="{27EB8449-D01D-454F-8AB7-066AE0830B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TFP!$N$53:$N$75</c:f>
              <c:numCache>
                <c:formatCode>0.000</c:formatCode>
                <c:ptCount val="23"/>
                <c:pt idx="0">
                  <c:v>0.95968272349846839</c:v>
                </c:pt>
                <c:pt idx="1">
                  <c:v>0.97661614764988991</c:v>
                </c:pt>
                <c:pt idx="2">
                  <c:v>0.98411214897540955</c:v>
                </c:pt>
                <c:pt idx="3">
                  <c:v>0.99962811428286191</c:v>
                </c:pt>
                <c:pt idx="4">
                  <c:v>1.0043286600505965</c:v>
                </c:pt>
                <c:pt idx="5">
                  <c:v>1.0052983382337093</c:v>
                </c:pt>
                <c:pt idx="6">
                  <c:v>1.0184464998670475</c:v>
                </c:pt>
                <c:pt idx="7">
                  <c:v>1.0111258812088577</c:v>
                </c:pt>
                <c:pt idx="8">
                  <c:v>1.0012390626446039</c:v>
                </c:pt>
                <c:pt idx="9">
                  <c:v>1</c:v>
                </c:pt>
                <c:pt idx="10">
                  <c:v>1.000819299063316</c:v>
                </c:pt>
                <c:pt idx="11">
                  <c:v>1.0100853214403938</c:v>
                </c:pt>
                <c:pt idx="12">
                  <c:v>1.0047968499604047</c:v>
                </c:pt>
                <c:pt idx="13">
                  <c:v>1.0065171214324979</c:v>
                </c:pt>
                <c:pt idx="14">
                  <c:v>1.0084586127916966</c:v>
                </c:pt>
                <c:pt idx="15">
                  <c:v>1.0147253046760434</c:v>
                </c:pt>
                <c:pt idx="16">
                  <c:v>1.0179047682788693</c:v>
                </c:pt>
                <c:pt idx="17">
                  <c:v>1.0263718303639326</c:v>
                </c:pt>
                <c:pt idx="18">
                  <c:v>1.025462714818115</c:v>
                </c:pt>
                <c:pt idx="19">
                  <c:v>0.98754331655344474</c:v>
                </c:pt>
                <c:pt idx="20">
                  <c:v>1.0309713732250132</c:v>
                </c:pt>
                <c:pt idx="21">
                  <c:v>1.0523937823583389</c:v>
                </c:pt>
                <c:pt idx="22">
                  <c:v>1.0457743714980883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C-48B7-BFD7-DAA9F20DC5F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TFP!$O$53:$O$75</c:f>
              <c:numCache>
                <c:formatCode>0.000</c:formatCode>
                <c:ptCount val="23"/>
                <c:pt idx="0">
                  <c:v>1.0070213952750109</c:v>
                </c:pt>
                <c:pt idx="1">
                  <c:v>1.0183700695688578</c:v>
                </c:pt>
                <c:pt idx="2">
                  <c:v>1.0187500440200432</c:v>
                </c:pt>
                <c:pt idx="3">
                  <c:v>1.0305935737692657</c:v>
                </c:pt>
                <c:pt idx="4">
                  <c:v>1.0423362443948734</c:v>
                </c:pt>
                <c:pt idx="5">
                  <c:v>1.0473679683848969</c:v>
                </c:pt>
                <c:pt idx="6">
                  <c:v>1.0470360760303843</c:v>
                </c:pt>
                <c:pt idx="7">
                  <c:v>1.0358225785099464</c:v>
                </c:pt>
                <c:pt idx="8">
                  <c:v>0.98847440921539209</c:v>
                </c:pt>
                <c:pt idx="9">
                  <c:v>1</c:v>
                </c:pt>
                <c:pt idx="10">
                  <c:v>1.0127623852672136</c:v>
                </c:pt>
                <c:pt idx="11">
                  <c:v>1.0109057375649422</c:v>
                </c:pt>
                <c:pt idx="12">
                  <c:v>1.0154485905196962</c:v>
                </c:pt>
                <c:pt idx="13">
                  <c:v>1.0261273590341162</c:v>
                </c:pt>
                <c:pt idx="14">
                  <c:v>1.0181719820944464</c:v>
                </c:pt>
                <c:pt idx="15">
                  <c:v>1.0132927417079358</c:v>
                </c:pt>
                <c:pt idx="16">
                  <c:v>1.0276986278854428</c:v>
                </c:pt>
                <c:pt idx="17">
                  <c:v>1.0377213538919849</c:v>
                </c:pt>
                <c:pt idx="18">
                  <c:v>1.0394684120982116</c:v>
                </c:pt>
                <c:pt idx="19">
                  <c:v>0.97386222017732038</c:v>
                </c:pt>
                <c:pt idx="20">
                  <c:v>1.0137664526030856</c:v>
                </c:pt>
                <c:pt idx="21">
                  <c:v>1.0328846773741371</c:v>
                </c:pt>
                <c:pt idx="22">
                  <c:v>1.019698089517225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EC-48B7-BFD7-DAA9F20DC5F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TFP!$P$53:$P$75</c:f>
              <c:numCache>
                <c:formatCode>0.000</c:formatCode>
                <c:ptCount val="23"/>
                <c:pt idx="0">
                  <c:v>0.96956084354771443</c:v>
                </c:pt>
                <c:pt idx="1">
                  <c:v>0.96089194747297235</c:v>
                </c:pt>
                <c:pt idx="2">
                  <c:v>0.95071173828003541</c:v>
                </c:pt>
                <c:pt idx="3">
                  <c:v>0.95746713865314281</c:v>
                </c:pt>
                <c:pt idx="4">
                  <c:v>0.96194299050850551</c:v>
                </c:pt>
                <c:pt idx="5">
                  <c:v>0.99419650806567694</c:v>
                </c:pt>
                <c:pt idx="6">
                  <c:v>1.0177602668503465</c:v>
                </c:pt>
                <c:pt idx="7">
                  <c:v>1.0222637292455012</c:v>
                </c:pt>
                <c:pt idx="8">
                  <c:v>0.96356618041504993</c:v>
                </c:pt>
                <c:pt idx="9">
                  <c:v>1</c:v>
                </c:pt>
                <c:pt idx="10">
                  <c:v>1.0446204546969899</c:v>
                </c:pt>
                <c:pt idx="11">
                  <c:v>1.0427786741492613</c:v>
                </c:pt>
                <c:pt idx="12">
                  <c:v>1.0399510177212901</c:v>
                </c:pt>
                <c:pt idx="13">
                  <c:v>1.0541414640438924</c:v>
                </c:pt>
                <c:pt idx="14">
                  <c:v>1.0599054273223052</c:v>
                </c:pt>
                <c:pt idx="15">
                  <c:v>1.0724198946422414</c:v>
                </c:pt>
                <c:pt idx="16">
                  <c:v>1.0925126342917344</c:v>
                </c:pt>
                <c:pt idx="17">
                  <c:v>1.0958052010042485</c:v>
                </c:pt>
                <c:pt idx="18">
                  <c:v>1.098221079796182</c:v>
                </c:pt>
                <c:pt idx="19">
                  <c:v>1.0471954514209059</c:v>
                </c:pt>
                <c:pt idx="20">
                  <c:v>1.0798553059794676</c:v>
                </c:pt>
                <c:pt idx="21">
                  <c:v>1.0842462360855392</c:v>
                </c:pt>
                <c:pt idx="22">
                  <c:v>1.0709211839608053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EC-48B7-BFD7-DAA9F20DC5F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TFP!$Q$53:$Q$75</c:f>
              <c:numCache>
                <c:formatCode>0.000</c:formatCode>
                <c:ptCount val="23"/>
                <c:pt idx="0">
                  <c:v>0.92893765465223543</c:v>
                </c:pt>
                <c:pt idx="1">
                  <c:v>0.94486545916917042</c:v>
                </c:pt>
                <c:pt idx="2">
                  <c:v>0.96221356867625185</c:v>
                </c:pt>
                <c:pt idx="3">
                  <c:v>0.98135966858468016</c:v>
                </c:pt>
                <c:pt idx="4">
                  <c:v>1.0043269010918843</c:v>
                </c:pt>
                <c:pt idx="5">
                  <c:v>1.0321561186111046</c:v>
                </c:pt>
                <c:pt idx="6">
                  <c:v>1.0549045872452305</c:v>
                </c:pt>
                <c:pt idx="7">
                  <c:v>1.0506188054721777</c:v>
                </c:pt>
                <c:pt idx="8">
                  <c:v>1.0041210413840682</c:v>
                </c:pt>
                <c:pt idx="9">
                  <c:v>1</c:v>
                </c:pt>
                <c:pt idx="10">
                  <c:v>0.99086976200698917</c:v>
                </c:pt>
                <c:pt idx="11">
                  <c:v>0.96163901630794302</c:v>
                </c:pt>
                <c:pt idx="12">
                  <c:v>0.94776648250911155</c:v>
                </c:pt>
                <c:pt idx="13">
                  <c:v>0.96088609594854391</c:v>
                </c:pt>
                <c:pt idx="14">
                  <c:v>0.99567927073823537</c:v>
                </c:pt>
                <c:pt idx="15">
                  <c:v>1.020469090367218</c:v>
                </c:pt>
                <c:pt idx="16">
                  <c:v>1.04406103520569</c:v>
                </c:pt>
                <c:pt idx="17">
                  <c:v>1.0604525635907007</c:v>
                </c:pt>
                <c:pt idx="18">
                  <c:v>1.0717424079331854</c:v>
                </c:pt>
                <c:pt idx="19">
                  <c:v>0.94916051080727493</c:v>
                </c:pt>
                <c:pt idx="20">
                  <c:v>1.0073196564759668</c:v>
                </c:pt>
                <c:pt idx="21">
                  <c:v>1.054954012522062</c:v>
                </c:pt>
                <c:pt idx="22">
                  <c:v>1.0686743483987851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EC-48B7-BFD7-DAA9F20DC5F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TFP!$R$53:$R$75</c:f>
              <c:numCache>
                <c:formatCode>0.000</c:formatCode>
                <c:ptCount val="23"/>
                <c:pt idx="0">
                  <c:v>0.99750868603216292</c:v>
                </c:pt>
                <c:pt idx="1">
                  <c:v>0.9951998058166126</c:v>
                </c:pt>
                <c:pt idx="2">
                  <c:v>0.99205502747851571</c:v>
                </c:pt>
                <c:pt idx="3">
                  <c:v>1.0071299526806956</c:v>
                </c:pt>
                <c:pt idx="4">
                  <c:v>1.0125030188602977</c:v>
                </c:pt>
                <c:pt idx="5">
                  <c:v>1.0261477306806428</c:v>
                </c:pt>
                <c:pt idx="6">
                  <c:v>1.038040564481626</c:v>
                </c:pt>
                <c:pt idx="7">
                  <c:v>1.0288170040205431</c:v>
                </c:pt>
                <c:pt idx="8">
                  <c:v>0.98994105157871271</c:v>
                </c:pt>
                <c:pt idx="9">
                  <c:v>1</c:v>
                </c:pt>
                <c:pt idx="10">
                  <c:v>1.0145292122199081</c:v>
                </c:pt>
                <c:pt idx="11">
                  <c:v>1.0070394456426508</c:v>
                </c:pt>
                <c:pt idx="12">
                  <c:v>1.0057988257967549</c:v>
                </c:pt>
                <c:pt idx="13">
                  <c:v>1.0074226024749475</c:v>
                </c:pt>
                <c:pt idx="14">
                  <c:v>1.0106695038191547</c:v>
                </c:pt>
                <c:pt idx="15">
                  <c:v>1.0122476396192652</c:v>
                </c:pt>
                <c:pt idx="16">
                  <c:v>1.0255566161498721</c:v>
                </c:pt>
                <c:pt idx="17">
                  <c:v>1.0337726561118799</c:v>
                </c:pt>
                <c:pt idx="18">
                  <c:v>1.0456352760583045</c:v>
                </c:pt>
                <c:pt idx="19">
                  <c:v>0.96135711086664888</c:v>
                </c:pt>
                <c:pt idx="20">
                  <c:v>1.0190590751123605</c:v>
                </c:pt>
                <c:pt idx="21">
                  <c:v>1.0369045458566177</c:v>
                </c:pt>
                <c:pt idx="22">
                  <c:v>1.0386162834171679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EC-48B7-BFD7-DAA9F20DC5FC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TFP!$S$53:$S$75</c:f>
              <c:numCache>
                <c:formatCode>0.000</c:formatCode>
                <c:ptCount val="23"/>
                <c:pt idx="0">
                  <c:v>0.98090112656172146</c:v>
                </c:pt>
                <c:pt idx="1">
                  <c:v>0.98839178056130683</c:v>
                </c:pt>
                <c:pt idx="2">
                  <c:v>1.0088501293523473</c:v>
                </c:pt>
                <c:pt idx="3">
                  <c:v>1.0217541027722752</c:v>
                </c:pt>
                <c:pt idx="4">
                  <c:v>1.0367822259589143</c:v>
                </c:pt>
                <c:pt idx="5">
                  <c:v>1.0479766602903877</c:v>
                </c:pt>
                <c:pt idx="6">
                  <c:v>1.060983741043382</c:v>
                </c:pt>
                <c:pt idx="7">
                  <c:v>1.0455534798264392</c:v>
                </c:pt>
                <c:pt idx="8">
                  <c:v>0.98803935973517298</c:v>
                </c:pt>
                <c:pt idx="9">
                  <c:v>1</c:v>
                </c:pt>
                <c:pt idx="10">
                  <c:v>1.0015386123645817</c:v>
                </c:pt>
                <c:pt idx="11">
                  <c:v>1.0072718565869816</c:v>
                </c:pt>
                <c:pt idx="12">
                  <c:v>1.0156721467415499</c:v>
                </c:pt>
                <c:pt idx="13">
                  <c:v>1.0367808724986036</c:v>
                </c:pt>
                <c:pt idx="14">
                  <c:v>1.0468903984002358</c:v>
                </c:pt>
                <c:pt idx="15">
                  <c:v>1.0536238422522402</c:v>
                </c:pt>
                <c:pt idx="16">
                  <c:v>1.0683378577189664</c:v>
                </c:pt>
                <c:pt idx="17">
                  <c:v>1.0711959911913245</c:v>
                </c:pt>
                <c:pt idx="18">
                  <c:v>1.0768881073614711</c:v>
                </c:pt>
                <c:pt idx="19">
                  <c:v>0.95850349695029324</c:v>
                </c:pt>
                <c:pt idx="20">
                  <c:v>1.0362897508593618</c:v>
                </c:pt>
                <c:pt idx="21">
                  <c:v>1.0658275637880221</c:v>
                </c:pt>
                <c:pt idx="22">
                  <c:v>1.0538276837051508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EC-48B7-BFD7-DAA9F20DC5FC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TFP!$T$53:$T$75</c:f>
              <c:numCache>
                <c:formatCode>0.000</c:formatCode>
                <c:ptCount val="23"/>
                <c:pt idx="0">
                  <c:v>1.0901895913646644</c:v>
                </c:pt>
                <c:pt idx="1">
                  <c:v>1.0815136248926505</c:v>
                </c:pt>
                <c:pt idx="2">
                  <c:v>1.0695204426720408</c:v>
                </c:pt>
                <c:pt idx="3">
                  <c:v>1.0713224311081611</c:v>
                </c:pt>
                <c:pt idx="4">
                  <c:v>1.0669215038750408</c:v>
                </c:pt>
                <c:pt idx="5">
                  <c:v>1.0748306750957717</c:v>
                </c:pt>
                <c:pt idx="6">
                  <c:v>1.0779608922850101</c:v>
                </c:pt>
                <c:pt idx="7">
                  <c:v>1.0547774339810323</c:v>
                </c:pt>
                <c:pt idx="8">
                  <c:v>0.99124270863730957</c:v>
                </c:pt>
                <c:pt idx="9">
                  <c:v>1</c:v>
                </c:pt>
                <c:pt idx="10">
                  <c:v>1.0019465563220322</c:v>
                </c:pt>
                <c:pt idx="11">
                  <c:v>0.9669684644054195</c:v>
                </c:pt>
                <c:pt idx="12">
                  <c:v>0.94125626482463265</c:v>
                </c:pt>
                <c:pt idx="13">
                  <c:v>0.93500599024180431</c:v>
                </c:pt>
                <c:pt idx="14">
                  <c:v>0.94315807372545513</c:v>
                </c:pt>
                <c:pt idx="15">
                  <c:v>0.95467071182987018</c:v>
                </c:pt>
                <c:pt idx="16">
                  <c:v>0.96929827279656156</c:v>
                </c:pt>
                <c:pt idx="17">
                  <c:v>0.97648280096750639</c:v>
                </c:pt>
                <c:pt idx="18">
                  <c:v>0.98601125731232753</c:v>
                </c:pt>
                <c:pt idx="19">
                  <c:v>0.90053879829410444</c:v>
                </c:pt>
                <c:pt idx="20">
                  <c:v>0.98033609436256008</c:v>
                </c:pt>
                <c:pt idx="21">
                  <c:v>1.0229894366479211</c:v>
                </c:pt>
                <c:pt idx="22">
                  <c:v>1.0256431097588115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EC-48B7-BFD7-DAA9F20DC5FC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TFP!$U$53:$U$75</c:f>
              <c:numCache>
                <c:formatCode>0.000</c:formatCode>
                <c:ptCount val="23"/>
                <c:pt idx="0">
                  <c:v>1.0139036973300322</c:v>
                </c:pt>
                <c:pt idx="1">
                  <c:v>1.0032700316976249</c:v>
                </c:pt>
                <c:pt idx="2">
                  <c:v>1.0084524164366484</c:v>
                </c:pt>
                <c:pt idx="3">
                  <c:v>1.0218888877916992</c:v>
                </c:pt>
                <c:pt idx="4">
                  <c:v>1.0316950492411514</c:v>
                </c:pt>
                <c:pt idx="5">
                  <c:v>1.0372588912552614</c:v>
                </c:pt>
                <c:pt idx="6">
                  <c:v>1.0446029168828141</c:v>
                </c:pt>
                <c:pt idx="7">
                  <c:v>1.0255625765124745</c:v>
                </c:pt>
                <c:pt idx="8">
                  <c:v>0.96380675399364624</c:v>
                </c:pt>
                <c:pt idx="9">
                  <c:v>1</c:v>
                </c:pt>
                <c:pt idx="10">
                  <c:v>0.9980928519460317</c:v>
                </c:pt>
                <c:pt idx="11">
                  <c:v>1.0091824079685612</c:v>
                </c:pt>
                <c:pt idx="12">
                  <c:v>1.0261210369548956</c:v>
                </c:pt>
                <c:pt idx="13">
                  <c:v>1.0256165935168904</c:v>
                </c:pt>
                <c:pt idx="14">
                  <c:v>1.0376784677138242</c:v>
                </c:pt>
                <c:pt idx="15">
                  <c:v>1.0411963518944614</c:v>
                </c:pt>
                <c:pt idx="16">
                  <c:v>1.0544492133760603</c:v>
                </c:pt>
                <c:pt idx="17">
                  <c:v>1.0574908921131212</c:v>
                </c:pt>
                <c:pt idx="18">
                  <c:v>1.0497588320544118</c:v>
                </c:pt>
                <c:pt idx="19">
                  <c:v>1.0045613962850968</c:v>
                </c:pt>
                <c:pt idx="20">
                  <c:v>1.031519346152695</c:v>
                </c:pt>
                <c:pt idx="21">
                  <c:v>1.043376185181744</c:v>
                </c:pt>
                <c:pt idx="22">
                  <c:v>1.0609528467398539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EC-48B7-BFD7-DAA9F20DC5FC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TFP!$V$53:$V$75</c:f>
              <c:numCache>
                <c:formatCode>0.000</c:formatCode>
                <c:ptCount val="23"/>
                <c:pt idx="0">
                  <c:v>1.0480016322463614</c:v>
                </c:pt>
                <c:pt idx="1">
                  <c:v>1.0261605050598608</c:v>
                </c:pt>
                <c:pt idx="2">
                  <c:v>1.0195035612838022</c:v>
                </c:pt>
                <c:pt idx="3">
                  <c:v>1.035958676138125</c:v>
                </c:pt>
                <c:pt idx="4">
                  <c:v>1.0377200591322782</c:v>
                </c:pt>
                <c:pt idx="5">
                  <c:v>1.0658394867110541</c:v>
                </c:pt>
                <c:pt idx="6">
                  <c:v>1.0656649171694044</c:v>
                </c:pt>
                <c:pt idx="7">
                  <c:v>1.0532706930192444</c:v>
                </c:pt>
                <c:pt idx="8">
                  <c:v>0.97030537026909347</c:v>
                </c:pt>
                <c:pt idx="9">
                  <c:v>1</c:v>
                </c:pt>
                <c:pt idx="10">
                  <c:v>1.0136516567230454</c:v>
                </c:pt>
                <c:pt idx="11">
                  <c:v>1.0286823131673608</c:v>
                </c:pt>
                <c:pt idx="12">
                  <c:v>1.0189446599581959</c:v>
                </c:pt>
                <c:pt idx="13">
                  <c:v>1.0264354730700136</c:v>
                </c:pt>
                <c:pt idx="14">
                  <c:v>1.0361284819886958</c:v>
                </c:pt>
                <c:pt idx="15">
                  <c:v>1.0372003967177785</c:v>
                </c:pt>
                <c:pt idx="16">
                  <c:v>1.0403767727587123</c:v>
                </c:pt>
                <c:pt idx="17">
                  <c:v>1.0458954577468091</c:v>
                </c:pt>
                <c:pt idx="18">
                  <c:v>1.0291167721984897</c:v>
                </c:pt>
                <c:pt idx="19">
                  <c:v>0.93593898258925923</c:v>
                </c:pt>
                <c:pt idx="20">
                  <c:v>0.98456336030704306</c:v>
                </c:pt>
                <c:pt idx="21">
                  <c:v>1.0111269955756266</c:v>
                </c:pt>
                <c:pt idx="22">
                  <c:v>1.02967105469404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EC-48B7-BFD7-DAA9F20DC5FC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TFP!$W$53:$W$75</c:f>
              <c:numCache>
                <c:formatCode>0.000</c:formatCode>
                <c:ptCount val="23"/>
                <c:pt idx="0">
                  <c:v>0.77946497762040023</c:v>
                </c:pt>
                <c:pt idx="1">
                  <c:v>0.81811744594429847</c:v>
                </c:pt>
                <c:pt idx="2">
                  <c:v>0.85091443417336332</c:v>
                </c:pt>
                <c:pt idx="3">
                  <c:v>0.91307330081820426</c:v>
                </c:pt>
                <c:pt idx="4">
                  <c:v>0.96896151975062295</c:v>
                </c:pt>
                <c:pt idx="5">
                  <c:v>1.0065022418927174</c:v>
                </c:pt>
                <c:pt idx="6">
                  <c:v>1.0305746827749762</c:v>
                </c:pt>
                <c:pt idx="7">
                  <c:v>1.0123482051738315</c:v>
                </c:pt>
                <c:pt idx="8">
                  <c:v>0.94507899616029845</c:v>
                </c:pt>
                <c:pt idx="9">
                  <c:v>1</c:v>
                </c:pt>
                <c:pt idx="10">
                  <c:v>1.080228074100444</c:v>
                </c:pt>
                <c:pt idx="11">
                  <c:v>1.1020260852384711</c:v>
                </c:pt>
                <c:pt idx="12">
                  <c:v>1.160988405209701</c:v>
                </c:pt>
                <c:pt idx="13">
                  <c:v>1.1831664516551819</c:v>
                </c:pt>
                <c:pt idx="14">
                  <c:v>1.2179354742731294</c:v>
                </c:pt>
                <c:pt idx="15">
                  <c:v>1.2226572815635857</c:v>
                </c:pt>
                <c:pt idx="16">
                  <c:v>1.2766420330878758</c:v>
                </c:pt>
                <c:pt idx="17">
                  <c:v>1.2792860421678962</c:v>
                </c:pt>
                <c:pt idx="18">
                  <c:v>1.2606872649125327</c:v>
                </c:pt>
                <c:pt idx="19">
                  <c:v>1.2580209684410086</c:v>
                </c:pt>
                <c:pt idx="20">
                  <c:v>1.3729522669696734</c:v>
                </c:pt>
                <c:pt idx="21">
                  <c:v>1.4194867446222523</c:v>
                </c:pt>
                <c:pt idx="22">
                  <c:v>1.4658536082384532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DEC-48B7-BFD7-DAA9F20DC5FC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TFP!$X$53:$X$75</c:f>
              <c:numCache>
                <c:formatCode>0.000</c:formatCode>
                <c:ptCount val="23"/>
                <c:pt idx="0">
                  <c:v>0.98721370015228704</c:v>
                </c:pt>
                <c:pt idx="1">
                  <c:v>0.98587398185484698</c:v>
                </c:pt>
                <c:pt idx="2">
                  <c:v>0.99545861169396699</c:v>
                </c:pt>
                <c:pt idx="3">
                  <c:v>1.0144260815253454</c:v>
                </c:pt>
                <c:pt idx="4">
                  <c:v>1.0296106831444456</c:v>
                </c:pt>
                <c:pt idx="5">
                  <c:v>1.0380238664169912</c:v>
                </c:pt>
                <c:pt idx="6">
                  <c:v>1.0398032148200664</c:v>
                </c:pt>
                <c:pt idx="7">
                  <c:v>1.0242091203226982</c:v>
                </c:pt>
                <c:pt idx="8">
                  <c:v>0.98558732919026515</c:v>
                </c:pt>
                <c:pt idx="9">
                  <c:v>1</c:v>
                </c:pt>
                <c:pt idx="10">
                  <c:v>1.003630977238873</c:v>
                </c:pt>
                <c:pt idx="11">
                  <c:v>1.0134685725697181</c:v>
                </c:pt>
                <c:pt idx="12">
                  <c:v>1.0216218118748845</c:v>
                </c:pt>
                <c:pt idx="13">
                  <c:v>1.0329372937697054</c:v>
                </c:pt>
                <c:pt idx="14">
                  <c:v>1.0482842209661645</c:v>
                </c:pt>
                <c:pt idx="15">
                  <c:v>1.0522912813216834</c:v>
                </c:pt>
                <c:pt idx="16">
                  <c:v>1.0632611682977662</c:v>
                </c:pt>
                <c:pt idx="17">
                  <c:v>1.0799563924832443</c:v>
                </c:pt>
                <c:pt idx="18">
                  <c:v>1.0933944347795803</c:v>
                </c:pt>
                <c:pt idx="19">
                  <c:v>1.0530779878600405</c:v>
                </c:pt>
                <c:pt idx="20">
                  <c:v>1.1047859574483034</c:v>
                </c:pt>
                <c:pt idx="21">
                  <c:v>1.1189832895620471</c:v>
                </c:pt>
                <c:pt idx="22">
                  <c:v>1.1364920969199275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DEC-48B7-BFD7-DAA9F20DC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9800880"/>
        <c:axId val="1359800400"/>
      </c:lineChart>
      <c:catAx>
        <c:axId val="1359800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800400"/>
        <c:crosses val="autoZero"/>
        <c:auto val="1"/>
        <c:lblAlgn val="ctr"/>
        <c:lblOffset val="100"/>
        <c:noMultiLvlLbl val="0"/>
      </c:catAx>
      <c:valAx>
        <c:axId val="135980040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80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276224</xdr:colOff>
      <xdr:row>2</xdr:row>
      <xdr:rowOff>120650</xdr:rowOff>
    </xdr:from>
    <xdr:to>
      <xdr:col>29</xdr:col>
      <xdr:colOff>165100</xdr:colOff>
      <xdr:row>35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17637B-5755-9A6A-2003-1595DD22D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7590-4AA9-4CFE-95A9-0877FECD074D}">
  <dimension ref="A1:L75"/>
  <sheetViews>
    <sheetView tabSelected="1" workbookViewId="0">
      <selection sqref="A1:L1048576"/>
    </sheetView>
  </sheetViews>
  <sheetFormatPr defaultRowHeight="15" x14ac:dyDescent="0.25"/>
  <cols>
    <col min="1" max="1" width="12.7109375" style="1" customWidth="1"/>
    <col min="9" max="9" width="11.85546875" bestFit="1" customWidth="1"/>
    <col min="12" max="12" width="10.85546875" bestFit="1" customWidth="1"/>
  </cols>
  <sheetData>
    <row r="1" spans="1:12" x14ac:dyDescent="0.25">
      <c r="A1" s="1" t="s">
        <v>0</v>
      </c>
      <c r="B1" s="1" t="s">
        <v>23</v>
      </c>
      <c r="C1" s="1" t="s">
        <v>24</v>
      </c>
      <c r="D1" s="1" t="s">
        <v>27</v>
      </c>
      <c r="E1" s="1" t="s">
        <v>26</v>
      </c>
      <c r="F1" s="1" t="s">
        <v>25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s="2">
        <v>18264</v>
      </c>
      <c r="B2" t="str">
        <f>IF(INV!B3="","",0)</f>
        <v/>
      </c>
    </row>
    <row r="3" spans="1:12" x14ac:dyDescent="0.25">
      <c r="A3" s="2">
        <v>18629</v>
      </c>
      <c r="B3" t="str">
        <f>IF(INV!B4="","",0)</f>
        <v/>
      </c>
    </row>
    <row r="4" spans="1:12" x14ac:dyDescent="0.25">
      <c r="A4" s="2">
        <v>18994</v>
      </c>
      <c r="B4" t="str">
        <f>IF(INV!B5="","",0)</f>
        <v/>
      </c>
    </row>
    <row r="5" spans="1:12" x14ac:dyDescent="0.25">
      <c r="A5" s="2">
        <v>19360</v>
      </c>
      <c r="B5" t="str">
        <f>IF(INV!B6="","",0)</f>
        <v/>
      </c>
    </row>
    <row r="6" spans="1:12" x14ac:dyDescent="0.25">
      <c r="A6" s="2">
        <v>19725</v>
      </c>
      <c r="B6" t="str">
        <f>IF(INV!B7="","",0)</f>
        <v/>
      </c>
      <c r="D6" t="str">
        <f>IF(INV!D7="","",3*GDP!D8)</f>
        <v/>
      </c>
      <c r="E6" t="str">
        <f>IF(INV!E7="","",3*GDP!E8)</f>
        <v/>
      </c>
      <c r="F6" t="str">
        <f>IF(INV!F7="","",3*GDP!F8)</f>
        <v/>
      </c>
      <c r="G6" t="str">
        <f>IF(INV!G7="","",3*GDP!G8)</f>
        <v/>
      </c>
      <c r="H6" t="str">
        <f>IF(INV!H7="","",3*GDP!H8)</f>
        <v/>
      </c>
      <c r="I6" t="str">
        <f>IF(INV!I7="","",3*GDP!I8)</f>
        <v/>
      </c>
      <c r="J6" t="str">
        <f>IF(INV!J7="","",3*GDP!J8)</f>
        <v/>
      </c>
      <c r="K6" t="str">
        <f>IF(INV!K7="","",3*GDP!K8)</f>
        <v/>
      </c>
    </row>
    <row r="7" spans="1:12" x14ac:dyDescent="0.25">
      <c r="A7" s="2">
        <v>20090</v>
      </c>
      <c r="B7" t="str">
        <f>IF(INV!B8="","",0)</f>
        <v/>
      </c>
      <c r="D7" t="str">
        <f>IF(INV!D8="","",3*GDP!D9)</f>
        <v/>
      </c>
      <c r="E7" t="str">
        <f>IF(INV!E8="","",3*GDP!E9)</f>
        <v/>
      </c>
      <c r="F7" t="str">
        <f>IF(INV!F8="","",3*GDP!F9)</f>
        <v/>
      </c>
      <c r="G7" t="str">
        <f>IF(INV!G8="","",3*GDP!G9)</f>
        <v/>
      </c>
      <c r="H7" t="str">
        <f>IF(INV!H8="","",3*GDP!H9)</f>
        <v/>
      </c>
      <c r="I7" t="str">
        <f>IF(INV!I8="","",3*GDP!I9)</f>
        <v/>
      </c>
      <c r="J7" t="str">
        <f>IF(INV!J8="","",3*GDP!J9)</f>
        <v/>
      </c>
      <c r="K7" t="str">
        <f>IF(INV!K8="","",3*GDP!K9)</f>
        <v/>
      </c>
    </row>
    <row r="8" spans="1:12" x14ac:dyDescent="0.25">
      <c r="A8" s="2">
        <v>20455</v>
      </c>
      <c r="B8" t="str">
        <f>IF(INV!B9="","",0)</f>
        <v/>
      </c>
      <c r="D8" t="str">
        <f>IF(INV!D9="","",3*GDP!D10)</f>
        <v/>
      </c>
      <c r="E8" t="str">
        <f>IF(INV!E9="","",3*GDP!E10)</f>
        <v/>
      </c>
      <c r="F8" t="str">
        <f>IF(INV!F9="","",3*GDP!F10)</f>
        <v/>
      </c>
      <c r="G8" t="str">
        <f>IF(INV!G9="","",3*GDP!G10)</f>
        <v/>
      </c>
      <c r="H8" t="str">
        <f>IF(INV!H9="","",3*GDP!H10)</f>
        <v/>
      </c>
      <c r="I8" t="str">
        <f>IF(INV!I9="","",3*GDP!I10)</f>
        <v/>
      </c>
      <c r="J8" t="str">
        <f>IF(INV!J9="","",3*GDP!J10)</f>
        <v/>
      </c>
      <c r="K8" t="str">
        <f>IF(INV!K9="","",3*GDP!K10)</f>
        <v/>
      </c>
    </row>
    <row r="9" spans="1:12" x14ac:dyDescent="0.25">
      <c r="A9" s="2">
        <v>20821</v>
      </c>
      <c r="B9" t="str">
        <f>IF(INV!B10="","",0)</f>
        <v/>
      </c>
      <c r="D9" t="str">
        <f>IF(INV!D10="","",3*GDP!D11)</f>
        <v/>
      </c>
      <c r="E9" t="str">
        <f>IF(INV!E10="","",3*GDP!E11)</f>
        <v/>
      </c>
      <c r="F9" t="str">
        <f>IF(INV!F10="","",3*GDP!F11)</f>
        <v/>
      </c>
      <c r="G9" t="str">
        <f>IF(INV!G10="","",3*GDP!G11)</f>
        <v/>
      </c>
      <c r="H9" t="str">
        <f>IF(INV!H10="","",3*GDP!H11)</f>
        <v/>
      </c>
      <c r="I9" t="str">
        <f>IF(INV!I10="","",3*GDP!I11)</f>
        <v/>
      </c>
      <c r="J9" t="str">
        <f>IF(INV!J10="","",3*GDP!J11)</f>
        <v/>
      </c>
      <c r="K9" t="str">
        <f>IF(INV!K10="","",3*GDP!K11)</f>
        <v/>
      </c>
    </row>
    <row r="10" spans="1:12" x14ac:dyDescent="0.25">
      <c r="A10" s="2">
        <v>21186</v>
      </c>
      <c r="B10" s="13" t="str">
        <f>IF(INV!B11="","",3*GDP!B11)</f>
        <v/>
      </c>
      <c r="C10" s="13" t="str">
        <f>IF(INV!C11="","",3*GDP!C11)</f>
        <v/>
      </c>
      <c r="D10" s="13" t="str">
        <f>IF(INV!D11="","",3*GDP!D11)</f>
        <v/>
      </c>
      <c r="E10" s="13" t="str">
        <f>IF(INV!E11="","",3*GDP!E11)</f>
        <v/>
      </c>
      <c r="F10" s="13">
        <f>IF(INV!F11="","",3*GDP!F11)</f>
        <v>1225024.3131043201</v>
      </c>
      <c r="G10" s="13" t="str">
        <f>IF(INV!G11="","",3*GDP!G11)</f>
        <v/>
      </c>
      <c r="H10" s="13" t="str">
        <f>IF(INV!H11="","",3*GDP!H11)</f>
        <v/>
      </c>
      <c r="I10" s="13" t="str">
        <f>IF(INV!I11="","",3*GDP!I11)</f>
        <v/>
      </c>
      <c r="J10" s="13" t="str">
        <f>IF(INV!J11="","",3*GDP!J11)</f>
        <v/>
      </c>
      <c r="K10" s="13" t="str">
        <f>IF(INV!K11="","",3*GDP!K11)</f>
        <v/>
      </c>
      <c r="L10" s="13"/>
    </row>
    <row r="11" spans="1:12" x14ac:dyDescent="0.25">
      <c r="A11" s="2">
        <v>21551</v>
      </c>
      <c r="B11" s="13">
        <f>IF(INV!B12="","",3*GDP!B12)</f>
        <v>921084</v>
      </c>
      <c r="C11" s="13" t="str">
        <f>IF(INV!C12="","",3*GDP!C12)</f>
        <v/>
      </c>
      <c r="D11" s="13" t="str">
        <f>IF(INV!D12="","",3*GDP!D12)</f>
        <v/>
      </c>
      <c r="E11" s="13" t="str">
        <f>IF(INV!E12="","",3*GDP!E12)</f>
        <v/>
      </c>
      <c r="F11" s="13">
        <f>(0.96)*F10+INV!F11</f>
        <v>1265701.8190039133</v>
      </c>
      <c r="G11" s="13" t="str">
        <f>IF(INV!G12="","",3*GDP!G12)</f>
        <v/>
      </c>
      <c r="H11" s="13" t="str">
        <f>IF(INV!H12="","",3*GDP!H12)</f>
        <v/>
      </c>
      <c r="I11" s="13" t="str">
        <f>IF(INV!I12="","",3*GDP!I12)</f>
        <v/>
      </c>
      <c r="J11" s="13" t="str">
        <f>IF(INV!J12="","",3*GDP!J12)</f>
        <v/>
      </c>
      <c r="K11" s="13" t="str">
        <f>IF(INV!K12="","",3*GDP!K12)</f>
        <v/>
      </c>
      <c r="L11" s="13"/>
    </row>
    <row r="12" spans="1:12" x14ac:dyDescent="0.25">
      <c r="A12" s="2">
        <v>21916</v>
      </c>
      <c r="B12" s="13">
        <f>(0.96)*B11+INV!B12</f>
        <v>931125.64</v>
      </c>
      <c r="C12" s="13">
        <f>IF(INV!C13="","",3*GDP!C13)</f>
        <v>1130022.890625</v>
      </c>
      <c r="D12" s="13" t="str">
        <f>IF(INV!D13="","",3*GDP!D13)</f>
        <v/>
      </c>
      <c r="E12" s="13" t="str">
        <f>IF(INV!E13="","",3*GDP!E13)</f>
        <v/>
      </c>
      <c r="F12" s="13">
        <f>(0.96)*F11+INV!F12</f>
        <v>1310726.3257588376</v>
      </c>
      <c r="G12" s="13" t="str">
        <f>IF(INV!G13="","",3*GDP!G13)</f>
        <v/>
      </c>
      <c r="H12" s="13" t="str">
        <f>IF(INV!H13="","",3*GDP!H13)</f>
        <v/>
      </c>
      <c r="I12" s="13" t="str">
        <f>IF(INV!I13="","",3*GDP!I13)</f>
        <v/>
      </c>
      <c r="J12" s="13" t="str">
        <f>IF(INV!J13="","",3*GDP!J13)</f>
        <v/>
      </c>
      <c r="K12" s="13" t="str">
        <f>IF(INV!K13="","",3*GDP!K13)</f>
        <v/>
      </c>
      <c r="L12" s="13"/>
    </row>
    <row r="13" spans="1:12" x14ac:dyDescent="0.25">
      <c r="A13" s="2">
        <v>22282</v>
      </c>
      <c r="B13" s="13">
        <f>(0.96)*B12+INV!B13</f>
        <v>943735.61439999996</v>
      </c>
      <c r="C13" s="13">
        <f>(0.96)*C12+INV!C13</f>
        <v>1152221.0755859374</v>
      </c>
      <c r="D13" s="13" t="str">
        <f>IF(INV!D14="","",3*GDP!D14)</f>
        <v/>
      </c>
      <c r="E13" s="13" t="str">
        <f>IF(INV!E14="","",3*GDP!E14)</f>
        <v/>
      </c>
      <c r="F13" s="13">
        <f>(0.96)*F12+INV!F13</f>
        <v>1365007.6400860141</v>
      </c>
      <c r="G13" s="13" t="str">
        <f>IF(INV!G14="","",3*GDP!G14)</f>
        <v/>
      </c>
      <c r="H13" s="13" t="str">
        <f>IF(INV!H14="","",3*GDP!H14)</f>
        <v/>
      </c>
      <c r="I13" s="13" t="str">
        <f>IF(INV!I14="","",3*GDP!I14)</f>
        <v/>
      </c>
      <c r="J13" s="13" t="str">
        <f>IF(INV!J14="","",3*GDP!J14)</f>
        <v/>
      </c>
      <c r="K13" s="13" t="str">
        <f>IF(INV!K14="","",3*GDP!K14)</f>
        <v/>
      </c>
      <c r="L13" s="13"/>
    </row>
    <row r="14" spans="1:12" x14ac:dyDescent="0.25">
      <c r="A14" s="2">
        <v>22647</v>
      </c>
      <c r="B14" s="13">
        <f>(0.96)*B13+INV!B14</f>
        <v>956364.18982399988</v>
      </c>
      <c r="C14" s="13">
        <f>(0.96)*C13+INV!C14</f>
        <v>1176873.0333437498</v>
      </c>
      <c r="D14" s="13" t="str">
        <f>IF(INV!D15="","",3*GDP!D15)</f>
        <v/>
      </c>
      <c r="E14" s="13" t="str">
        <f>IF(INV!E15="","",3*GDP!E15)</f>
        <v/>
      </c>
      <c r="F14" s="13">
        <f>(0.96)*F13+INV!F14</f>
        <v>1424419.2804080935</v>
      </c>
      <c r="G14" s="13" t="str">
        <f>IF(INV!G15="","",3*GDP!G15)</f>
        <v/>
      </c>
      <c r="H14" s="13" t="str">
        <f>IF(INV!H15="","",3*GDP!H15)</f>
        <v/>
      </c>
      <c r="I14" s="13" t="str">
        <f>IF(INV!I15="","",3*GDP!I15)</f>
        <v/>
      </c>
      <c r="J14" s="13" t="str">
        <f>IF(INV!J15="","",3*GDP!J15)</f>
        <v/>
      </c>
      <c r="K14" s="13" t="str">
        <f>IF(INV!K15="","",3*GDP!K15)</f>
        <v/>
      </c>
      <c r="L14" s="13"/>
    </row>
    <row r="15" spans="1:12" x14ac:dyDescent="0.25">
      <c r="A15" s="2">
        <v>23012</v>
      </c>
      <c r="B15" s="13">
        <f>(0.96)*B14+INV!B15</f>
        <v>973345.6222310398</v>
      </c>
      <c r="C15" s="13">
        <f>(0.96)*C14+INV!C15</f>
        <v>1203165.9127912498</v>
      </c>
      <c r="D15" s="13" t="str">
        <f>IF(INV!D16="","",3*GDP!D16)</f>
        <v/>
      </c>
      <c r="E15" s="13" t="str">
        <f>IF(INV!E16="","",3*GDP!E16)</f>
        <v/>
      </c>
      <c r="F15" s="13">
        <f>(0.96)*F14+INV!F15</f>
        <v>1490830.0475751997</v>
      </c>
      <c r="G15" s="13" t="str">
        <f>IF(INV!G16="","",3*GDP!G16)</f>
        <v/>
      </c>
      <c r="H15" s="13" t="str">
        <f>IF(INV!H16="","",3*GDP!H16)</f>
        <v/>
      </c>
      <c r="I15" s="13" t="str">
        <f>IF(INV!I16="","",3*GDP!I16)</f>
        <v/>
      </c>
      <c r="J15" s="13" t="str">
        <f>IF(INV!J16="","",3*GDP!J16)</f>
        <v/>
      </c>
      <c r="K15" s="13" t="str">
        <f>IF(INV!K16="","",3*GDP!K16)</f>
        <v/>
      </c>
      <c r="L15" s="13"/>
    </row>
    <row r="16" spans="1:12" x14ac:dyDescent="0.25">
      <c r="A16" s="2">
        <v>23377</v>
      </c>
      <c r="B16" s="13">
        <f>(0.96)*B15+INV!B16</f>
        <v>994241.7973417982</v>
      </c>
      <c r="C16" s="13">
        <f>(0.96)*C15+INV!C16</f>
        <v>1238022.1786233499</v>
      </c>
      <c r="D16" s="13" t="str">
        <f>IF(INV!D17="","",3*GDP!D17)</f>
        <v/>
      </c>
      <c r="E16" s="13" t="str">
        <f>IF(INV!E17="","",3*GDP!E17)</f>
        <v/>
      </c>
      <c r="F16" s="13">
        <f>(0.96)*F15+INV!F16</f>
        <v>1567325.2721752315</v>
      </c>
      <c r="G16" s="13" t="str">
        <f>IF(INV!G17="","",3*GDP!G17)</f>
        <v/>
      </c>
      <c r="H16" s="13" t="str">
        <f>IF(INV!H17="","",3*GDP!H17)</f>
        <v/>
      </c>
      <c r="I16" s="13" t="str">
        <f>IF(INV!I17="","",3*GDP!I17)</f>
        <v/>
      </c>
      <c r="J16" s="13" t="str">
        <f>IF(INV!J17="","",3*GDP!J17)</f>
        <v/>
      </c>
      <c r="K16" s="13" t="str">
        <f>IF(INV!K17="","",3*GDP!K17)</f>
        <v/>
      </c>
      <c r="L16" s="13"/>
    </row>
    <row r="17" spans="1:12" x14ac:dyDescent="0.25">
      <c r="A17" s="2">
        <v>23743</v>
      </c>
      <c r="B17" s="13">
        <f>(0.96)*B16+INV!B17</f>
        <v>1019389.1254481262</v>
      </c>
      <c r="C17" s="13">
        <f>(0.96)*C16+INV!C17</f>
        <v>1280492.6938221657</v>
      </c>
      <c r="D17" s="13" t="str">
        <f>IF(INV!D18="","",3*GDP!D18)</f>
        <v/>
      </c>
      <c r="E17" s="13" t="str">
        <f>IF(INV!E18="","",3*GDP!E18)</f>
        <v/>
      </c>
      <c r="F17" s="13">
        <f>(0.96)*F16+INV!F17</f>
        <v>1648492.9952473822</v>
      </c>
      <c r="G17" s="13" t="str">
        <f>IF(INV!G18="","",3*GDP!G18)</f>
        <v/>
      </c>
      <c r="H17" s="13" t="str">
        <f>IF(INV!H18="","",3*GDP!H18)</f>
        <v/>
      </c>
      <c r="I17" s="13" t="str">
        <f>IF(INV!I18="","",3*GDP!I18)</f>
        <v/>
      </c>
      <c r="J17" s="13" t="str">
        <f>IF(INV!J18="","",3*GDP!J18)</f>
        <v/>
      </c>
      <c r="K17" s="13" t="str">
        <f>IF(INV!K18="","",3*GDP!K18)</f>
        <v/>
      </c>
      <c r="L17" s="13"/>
    </row>
    <row r="18" spans="1:12" x14ac:dyDescent="0.25">
      <c r="A18" s="2">
        <v>24108</v>
      </c>
      <c r="B18" s="13">
        <f>(0.96)*B17+INV!B18</f>
        <v>1047144.5604302011</v>
      </c>
      <c r="C18" s="13">
        <f>(0.96)*C17+INV!C18</f>
        <v>1331418.888413029</v>
      </c>
      <c r="D18" s="13" t="str">
        <f>IF(INV!D19="","",3*GDP!D19)</f>
        <v/>
      </c>
      <c r="E18" s="13" t="str">
        <f>IF(INV!E19="","",3*GDP!E19)</f>
        <v/>
      </c>
      <c r="F18" s="13">
        <f>(0.96)*F17+INV!F18</f>
        <v>1737224.7615532568</v>
      </c>
      <c r="G18" s="13" t="str">
        <f>IF(INV!G19="","",3*GDP!G19)</f>
        <v/>
      </c>
      <c r="H18" s="13" t="str">
        <f>IF(INV!H19="","",3*GDP!H19)</f>
        <v/>
      </c>
      <c r="I18" s="13" t="str">
        <f>IF(INV!I19="","",3*GDP!I19)</f>
        <v/>
      </c>
      <c r="J18" s="13" t="str">
        <f>IF(INV!J19="","",3*GDP!J19)</f>
        <v/>
      </c>
      <c r="K18" s="13" t="str">
        <f>IF(INV!K19="","",3*GDP!K19)</f>
        <v/>
      </c>
      <c r="L18" s="13"/>
    </row>
    <row r="19" spans="1:12" x14ac:dyDescent="0.25">
      <c r="A19" s="2">
        <v>24473</v>
      </c>
      <c r="B19" s="13">
        <f>(0.96)*B18+INV!B19</f>
        <v>1077987.778012993</v>
      </c>
      <c r="C19" s="13">
        <f>(0.96)*C18+INV!C19</f>
        <v>1380406.3360015077</v>
      </c>
      <c r="D19" s="13" t="str">
        <f>IF(INV!D20="","",3*GDP!D20)</f>
        <v/>
      </c>
      <c r="E19" s="13" t="str">
        <f>IF(INV!E20="","",3*GDP!E20)</f>
        <v/>
      </c>
      <c r="F19" s="13">
        <f>(0.96)*F18+INV!F19</f>
        <v>1833799.8553195363</v>
      </c>
      <c r="G19" s="13" t="str">
        <f>IF(INV!G20="","",3*GDP!G20)</f>
        <v/>
      </c>
      <c r="H19" s="13" t="str">
        <f>IF(INV!H20="","",3*GDP!H20)</f>
        <v/>
      </c>
      <c r="I19" s="13" t="str">
        <f>IF(INV!I20="","",3*GDP!I20)</f>
        <v/>
      </c>
      <c r="J19" s="13" t="str">
        <f>IF(INV!J20="","",3*GDP!J20)</f>
        <v/>
      </c>
      <c r="K19" s="13" t="str">
        <f>IF(INV!K20="","",3*GDP!K20)</f>
        <v/>
      </c>
      <c r="L19" s="13"/>
    </row>
    <row r="20" spans="1:12" x14ac:dyDescent="0.25">
      <c r="A20" s="2">
        <v>24838</v>
      </c>
      <c r="B20" s="13">
        <f>(0.96)*B19+INV!B20</f>
        <v>1113345.2668924732</v>
      </c>
      <c r="C20" s="13">
        <f>(0.96)*C19+INV!C20</f>
        <v>1428308.8833426973</v>
      </c>
      <c r="D20" s="13" t="str">
        <f>IF(INV!D21="","",3*GDP!D21)</f>
        <v/>
      </c>
      <c r="E20" s="13" t="str">
        <f>IF(INV!E21="","",3*GDP!E21)</f>
        <v/>
      </c>
      <c r="F20" s="13">
        <f>(0.96)*F19+INV!F20</f>
        <v>1935709.2739465148</v>
      </c>
      <c r="G20" s="13" t="str">
        <f>IF(INV!G21="","",3*GDP!G21)</f>
        <v/>
      </c>
      <c r="H20" s="13" t="str">
        <f>IF(INV!H21="","",3*GDP!H21)</f>
        <v/>
      </c>
      <c r="I20" s="13" t="str">
        <f>IF(INV!I21="","",3*GDP!I21)</f>
        <v/>
      </c>
      <c r="J20" s="13" t="str">
        <f>IF(INV!J21="","",3*GDP!J21)</f>
        <v/>
      </c>
      <c r="K20" s="13" t="str">
        <f>IF(INV!K21="","",3*GDP!K21)</f>
        <v/>
      </c>
      <c r="L20" s="13"/>
    </row>
    <row r="21" spans="1:12" x14ac:dyDescent="0.25">
      <c r="A21" s="2">
        <v>25204</v>
      </c>
      <c r="B21" s="13">
        <f>(0.96)*B20+INV!B21</f>
        <v>1150832.4562167742</v>
      </c>
      <c r="C21" s="13">
        <f>(0.96)*C20+INV!C21</f>
        <v>1479244.3287902393</v>
      </c>
      <c r="D21" s="13" t="str">
        <f>IF(INV!D22="","",3*GDP!D22)</f>
        <v/>
      </c>
      <c r="E21" s="13" t="str">
        <f>IF(INV!E22="","",3*GDP!E22)</f>
        <v/>
      </c>
      <c r="F21" s="13">
        <f>(0.96)*F20+INV!F21</f>
        <v>2046882.2428638842</v>
      </c>
      <c r="G21" s="13" t="str">
        <f>IF(INV!G22="","",3*GDP!G22)</f>
        <v/>
      </c>
      <c r="H21" s="13" t="str">
        <f>IF(INV!H22="","",3*GDP!H22)</f>
        <v/>
      </c>
      <c r="I21" s="13" t="str">
        <f>IF(INV!I22="","",3*GDP!I22)</f>
        <v/>
      </c>
      <c r="J21" s="13" t="str">
        <f>IF(INV!J22="","",3*GDP!J22)</f>
        <v/>
      </c>
      <c r="K21" s="13" t="str">
        <f>IF(INV!K22="","",3*GDP!K22)</f>
        <v/>
      </c>
      <c r="L21" s="13"/>
    </row>
    <row r="22" spans="1:12" x14ac:dyDescent="0.25">
      <c r="A22" s="2">
        <v>25569</v>
      </c>
      <c r="B22" s="13">
        <f>(0.96)*B21+INV!B22</f>
        <v>1188887.1579681032</v>
      </c>
      <c r="C22" s="13">
        <f>(0.96)*C21+INV!C22</f>
        <v>1528754.1572011297</v>
      </c>
      <c r="D22" s="13" t="str">
        <f>IF(INV!D23="","",3*GDP!D23)</f>
        <v/>
      </c>
      <c r="E22" s="13" t="str">
        <f>IF(INV!E23="","",3*GDP!E23)</f>
        <v/>
      </c>
      <c r="F22" s="13">
        <f>(0.96)*F21+INV!F22</f>
        <v>2163852.5823997185</v>
      </c>
      <c r="G22" s="13" t="str">
        <f>IF(INV!G23="","",3*GDP!G23)</f>
        <v/>
      </c>
      <c r="H22" s="13" t="str">
        <f>IF(INV!H23="","",3*GDP!H23)</f>
        <v/>
      </c>
      <c r="I22" s="13" t="str">
        <f>IF(INV!I23="","",3*GDP!I23)</f>
        <v/>
      </c>
      <c r="J22" s="13" t="str">
        <f>IF(INV!J23="","",3*GDP!J23)</f>
        <v/>
      </c>
      <c r="K22" s="13" t="str">
        <f>IF(INV!K23="","",3*GDP!K23)</f>
        <v/>
      </c>
      <c r="L22" s="13"/>
    </row>
    <row r="23" spans="1:12" x14ac:dyDescent="0.25">
      <c r="A23" s="2">
        <v>25934</v>
      </c>
      <c r="B23" s="13">
        <f>(0.96)*B22+INV!B23</f>
        <v>1229541.671649379</v>
      </c>
      <c r="C23" s="13">
        <f>(0.96)*C22+INV!C23</f>
        <v>1584173.2916943345</v>
      </c>
      <c r="D23" s="13" t="str">
        <f>IF(INV!D24="","",3*GDP!D24)</f>
        <v/>
      </c>
      <c r="E23" s="13" t="str">
        <f>IF(INV!E24="","",3*GDP!E24)</f>
        <v/>
      </c>
      <c r="F23" s="13">
        <f>(0.96)*F22+INV!F23</f>
        <v>2289492.1794231897</v>
      </c>
      <c r="G23" s="13" t="str">
        <f>IF(INV!G24="","",3*GDP!G24)</f>
        <v/>
      </c>
      <c r="H23" s="13" t="str">
        <f>IF(INV!H24="","",3*GDP!H24)</f>
        <v/>
      </c>
      <c r="I23" s="13" t="str">
        <f>IF(INV!I24="","",3*GDP!I24)</f>
        <v/>
      </c>
      <c r="J23" s="13" t="str">
        <f>IF(INV!J24="","",3*GDP!J24)</f>
        <v/>
      </c>
      <c r="K23" s="13" t="str">
        <f>IF(INV!K24="","",3*GDP!K24)</f>
        <v/>
      </c>
      <c r="L23" s="13">
        <f>GDP!L23*3</f>
        <v>16474336.5</v>
      </c>
    </row>
    <row r="24" spans="1:12" x14ac:dyDescent="0.25">
      <c r="A24" s="2">
        <v>26299</v>
      </c>
      <c r="B24" s="13">
        <f>(0.96)*B23+INV!B24</f>
        <v>1268823.0047834038</v>
      </c>
      <c r="C24" s="13">
        <f>(0.96)*C23+INV!C24</f>
        <v>1642189.262370311</v>
      </c>
      <c r="D24" s="13" t="str">
        <f>IF(INV!D25="","",3*GDP!D25)</f>
        <v/>
      </c>
      <c r="E24" s="13" t="str">
        <f>IF(INV!E25="","",3*GDP!E25)</f>
        <v/>
      </c>
      <c r="F24" s="13">
        <f>(0.96)*F23+INV!F24</f>
        <v>2422351.1995284124</v>
      </c>
      <c r="G24" s="13" t="str">
        <f>IF(INV!G25="","",3*GDP!G25)</f>
        <v/>
      </c>
      <c r="H24" s="13" t="str">
        <f>IF(INV!H25="","",3*GDP!H25)</f>
        <v/>
      </c>
      <c r="I24" s="13" t="str">
        <f>IF(INV!I25="","",3*GDP!I25)</f>
        <v/>
      </c>
      <c r="J24" s="13" t="str">
        <f>IF(INV!J25="","",3*GDP!J25)</f>
        <v/>
      </c>
      <c r="K24" s="13" t="str">
        <f>IF(INV!K25="","",3*GDP!K25)</f>
        <v/>
      </c>
      <c r="L24" s="13">
        <f>(0.96)*L23+INV!L24</f>
        <v>16787309.633749999</v>
      </c>
    </row>
    <row r="25" spans="1:12" x14ac:dyDescent="0.25">
      <c r="A25" s="2">
        <v>26665</v>
      </c>
      <c r="B25" s="13">
        <f>(0.96)*B24+INV!B25</f>
        <v>1311957.0845920676</v>
      </c>
      <c r="C25" s="13">
        <f>(0.96)*C24+INV!C25</f>
        <v>1707842.5942192485</v>
      </c>
      <c r="D25" s="13" t="str">
        <f>IF(INV!D26="","",3*GDP!D26)</f>
        <v/>
      </c>
      <c r="E25" s="13" t="str">
        <f>IF(INV!E26="","",3*GDP!E26)</f>
        <v/>
      </c>
      <c r="F25" s="13">
        <f>(0.96)*F24+INV!F25</f>
        <v>2565131.5359082557</v>
      </c>
      <c r="G25" s="13" t="str">
        <f>IF(INV!G26="","",3*GDP!G26)</f>
        <v/>
      </c>
      <c r="H25" s="13" t="str">
        <f>IF(INV!H26="","",3*GDP!H26)</f>
        <v/>
      </c>
      <c r="I25" s="13" t="str">
        <f>IF(INV!I26="","",3*GDP!I26)</f>
        <v/>
      </c>
      <c r="J25" s="13" t="str">
        <f>IF(INV!J26="","",3*GDP!J26)</f>
        <v/>
      </c>
      <c r="K25" s="13" t="str">
        <f>IF(INV!K26="","",3*GDP!K26)</f>
        <v/>
      </c>
      <c r="L25" s="13">
        <f>(0.96)*L24+INV!L25</f>
        <v>17156548.842149999</v>
      </c>
    </row>
    <row r="26" spans="1:12" x14ac:dyDescent="0.25">
      <c r="A26" s="2">
        <v>27030</v>
      </c>
      <c r="B26" s="13">
        <f>(0.96)*B25+INV!B26</f>
        <v>1350635.8012083848</v>
      </c>
      <c r="C26" s="13">
        <f>(0.96)*C25+INV!C26</f>
        <v>1777936.5935754785</v>
      </c>
      <c r="D26" s="13" t="str">
        <f>IF(INV!D27="","",3*GDP!D27)</f>
        <v/>
      </c>
      <c r="E26" s="13" t="str">
        <f>IF(INV!E27="","",3*GDP!E27)</f>
        <v/>
      </c>
      <c r="F26" s="13">
        <f>(0.96)*F25+INV!F26</f>
        <v>2707639.0634919154</v>
      </c>
      <c r="G26" s="13" t="str">
        <f>IF(INV!G27="","",3*GDP!G27)</f>
        <v/>
      </c>
      <c r="H26" s="13" t="str">
        <f>IF(INV!H27="","",3*GDP!H27)</f>
        <v/>
      </c>
      <c r="I26" s="13" t="str">
        <f>IF(INV!I27="","",3*GDP!I27)</f>
        <v/>
      </c>
      <c r="J26" s="13" t="str">
        <f>IF(INV!J27="","",3*GDP!J27)</f>
        <v/>
      </c>
      <c r="K26" s="13" t="str">
        <f>IF(INV!K27="","",3*GDP!K27)</f>
        <v/>
      </c>
      <c r="L26" s="13">
        <f>(0.96)*L25+INV!L26</f>
        <v>17470395.888463996</v>
      </c>
    </row>
    <row r="27" spans="1:12" x14ac:dyDescent="0.25">
      <c r="A27" s="2">
        <v>27395</v>
      </c>
      <c r="B27" s="13">
        <f>(0.96)*B26+INV!B27</f>
        <v>1386266.3691600494</v>
      </c>
      <c r="C27" s="13">
        <f>(0.96)*C26+INV!C27</f>
        <v>1851105.0321762094</v>
      </c>
      <c r="D27" s="13" t="str">
        <f>IF(INV!D28="","",3*GDP!D28)</f>
        <v/>
      </c>
      <c r="E27" s="13" t="str">
        <f>IF(INV!E28="","",3*GDP!E28)</f>
        <v/>
      </c>
      <c r="F27" s="13">
        <f>(0.96)*F26+INV!F27</f>
        <v>2831956.0571089485</v>
      </c>
      <c r="G27" s="13" t="str">
        <f>IF(INV!G28="","",3*GDP!G28)</f>
        <v/>
      </c>
      <c r="H27" s="13" t="str">
        <f>IF(INV!H28="","",3*GDP!H28)</f>
        <v/>
      </c>
      <c r="I27" s="13" t="str">
        <f>IF(INV!I28="","",3*GDP!I28)</f>
        <v/>
      </c>
      <c r="J27" s="13" t="str">
        <f>IF(INV!J28="","",3*GDP!J28)</f>
        <v/>
      </c>
      <c r="K27" s="13" t="str">
        <f>IF(INV!K28="","",3*GDP!K28)</f>
        <v/>
      </c>
      <c r="L27" s="13">
        <f>(0.96)*L26+INV!L27</f>
        <v>17698680.740425438</v>
      </c>
    </row>
    <row r="28" spans="1:12" x14ac:dyDescent="0.25">
      <c r="A28" s="2">
        <v>27760</v>
      </c>
      <c r="B28" s="13">
        <f>(0.96)*B27+INV!B28</f>
        <v>1424468.7143936474</v>
      </c>
      <c r="C28" s="13">
        <f>(0.96)*C27+INV!C28</f>
        <v>1930590.432451661</v>
      </c>
      <c r="D28" s="13" t="str">
        <f>IF(INV!D29="","",3*GDP!D29)</f>
        <v/>
      </c>
      <c r="E28" s="13" t="str">
        <f>IF(INV!E29="","",3*GDP!E29)</f>
        <v/>
      </c>
      <c r="F28" s="13">
        <f>(0.96)*F27+INV!F28</f>
        <v>2956598.5172838806</v>
      </c>
      <c r="G28" s="13" t="str">
        <f>IF(INV!G29="","",3*GDP!G29)</f>
        <v/>
      </c>
      <c r="H28" s="13" t="str">
        <f>IF(INV!H29="","",3*GDP!H29)</f>
        <v/>
      </c>
      <c r="I28" s="13" t="str">
        <f>IF(INV!I29="","",3*GDP!I29)</f>
        <v/>
      </c>
      <c r="J28" s="13" t="str">
        <f>IF(INV!J29="","",3*GDP!J29)</f>
        <v/>
      </c>
      <c r="K28" s="13" t="str">
        <f>IF(INV!K29="","",3*GDP!K29)</f>
        <v/>
      </c>
      <c r="L28" s="13">
        <f>(0.96)*L27+INV!L28</f>
        <v>17992300.510808419</v>
      </c>
    </row>
    <row r="29" spans="1:12" x14ac:dyDescent="0.25">
      <c r="A29" s="2">
        <v>28126</v>
      </c>
      <c r="B29" s="13">
        <f>(0.96)*B28+INV!B29</f>
        <v>1463760.9658179015</v>
      </c>
      <c r="C29" s="13">
        <f>(0.96)*C28+INV!C29</f>
        <v>2010634.6159348444</v>
      </c>
      <c r="D29" s="13" t="str">
        <f>IF(INV!D30="","",3*GDP!D30)</f>
        <v/>
      </c>
      <c r="E29" s="13" t="str">
        <f>IF(INV!E30="","",3*GDP!E30)</f>
        <v/>
      </c>
      <c r="F29" s="13">
        <f>(0.96)*F28+INV!F29</f>
        <v>3074609.2793721557</v>
      </c>
      <c r="G29" s="13" t="str">
        <f>IF(INV!G30="","",3*GDP!G30)</f>
        <v/>
      </c>
      <c r="H29" s="13" t="str">
        <f>IF(INV!H30="","",3*GDP!H30)</f>
        <v/>
      </c>
      <c r="I29" s="13" t="str">
        <f>IF(INV!I30="","",3*GDP!I30)</f>
        <v/>
      </c>
      <c r="J29" s="13" t="str">
        <f>IF(INV!J30="","",3*GDP!J30)</f>
        <v/>
      </c>
      <c r="K29" s="13" t="str">
        <f>IF(INV!K30="","",3*GDP!K30)</f>
        <v/>
      </c>
      <c r="L29" s="13">
        <f>(0.96)*L28+INV!L29</f>
        <v>18377626.115376081</v>
      </c>
    </row>
    <row r="30" spans="1:12" x14ac:dyDescent="0.25">
      <c r="A30" s="2">
        <v>28491</v>
      </c>
      <c r="B30" s="13">
        <f>(0.96)*B29+INV!B30</f>
        <v>1509038.5271851853</v>
      </c>
      <c r="C30" s="13">
        <f>(0.96)*C29+INV!C30</f>
        <v>2090423.1336412006</v>
      </c>
      <c r="D30" s="13" t="str">
        <f>IF(INV!D31="","",3*GDP!D31)</f>
        <v/>
      </c>
      <c r="E30" s="13" t="str">
        <f>IF(INV!E31="","",3*GDP!E31)</f>
        <v/>
      </c>
      <c r="F30" s="13">
        <f>(0.96)*F29+INV!F30</f>
        <v>3194262.4539386793</v>
      </c>
      <c r="G30" s="13" t="str">
        <f>IF(INV!G31="","",3*GDP!G31)</f>
        <v/>
      </c>
      <c r="H30" s="13" t="str">
        <f>IF(INV!H31="","",3*GDP!H31)</f>
        <v/>
      </c>
      <c r="I30" s="13" t="str">
        <f>IF(INV!I31="","",3*GDP!I31)</f>
        <v/>
      </c>
      <c r="J30" s="13" t="str">
        <f>IF(INV!J31="","",3*GDP!J31)</f>
        <v/>
      </c>
      <c r="K30" s="13" t="str">
        <f>IF(INV!K31="","",3*GDP!K31)</f>
        <v/>
      </c>
      <c r="L30" s="13">
        <f>(0.96)*L29+INV!L30</f>
        <v>18865258.008261036</v>
      </c>
    </row>
    <row r="31" spans="1:12" x14ac:dyDescent="0.25">
      <c r="A31" s="2">
        <v>28856</v>
      </c>
      <c r="B31" s="13">
        <f>(0.96)*B30+INV!B31</f>
        <v>1559032.986097778</v>
      </c>
      <c r="C31" s="13">
        <f>(0.96)*C30+INV!C31</f>
        <v>2177111.3098580525</v>
      </c>
      <c r="D31" s="13" t="str">
        <f>IF(INV!D32="","",3*GDP!D32)</f>
        <v/>
      </c>
      <c r="E31" s="13" t="str">
        <f>IF(INV!E32="","",3*GDP!E32)</f>
        <v/>
      </c>
      <c r="F31" s="13">
        <f>(0.96)*F30+INV!F31</f>
        <v>3316030.3031481919</v>
      </c>
      <c r="G31" s="13" t="str">
        <f>IF(INV!G32="","",3*GDP!G32)</f>
        <v/>
      </c>
      <c r="H31" s="13" t="str">
        <f>IF(INV!H32="","",3*GDP!H32)</f>
        <v/>
      </c>
      <c r="I31" s="13" t="str">
        <f>IF(INV!I32="","",3*GDP!I32)</f>
        <v/>
      </c>
      <c r="J31" s="13" t="str">
        <f>IF(INV!J32="","",3*GDP!J32)</f>
        <v/>
      </c>
      <c r="K31" s="13" t="str">
        <f>IF(INV!K32="","",3*GDP!K32)</f>
        <v/>
      </c>
      <c r="L31" s="13">
        <f>(0.96)*L30+INV!L31</f>
        <v>19403067.312930595</v>
      </c>
    </row>
    <row r="32" spans="1:12" x14ac:dyDescent="0.25">
      <c r="A32" s="2">
        <v>29221</v>
      </c>
      <c r="B32" s="13">
        <f>(0.96)*B31+INV!B32</f>
        <v>1615660.6666538669</v>
      </c>
      <c r="C32" s="13">
        <f>(0.96)*C31+INV!C32</f>
        <v>2269553.7598074805</v>
      </c>
      <c r="D32" s="13" t="str">
        <f>IF(INV!D33="","",3*GDP!D33)</f>
        <v/>
      </c>
      <c r="E32" s="13" t="str">
        <f>IF(INV!E33="","",3*GDP!E33)</f>
        <v/>
      </c>
      <c r="F32" s="13">
        <f>(0.96)*F31+INV!F32</f>
        <v>3440149.2054280341</v>
      </c>
      <c r="G32" s="13" t="str">
        <f>IF(INV!G33="","",3*GDP!G33)</f>
        <v/>
      </c>
      <c r="H32" s="13" t="str">
        <f>IF(INV!H33="","",3*GDP!H33)</f>
        <v/>
      </c>
      <c r="I32" s="13" t="str">
        <f>IF(INV!I33="","",3*GDP!I33)</f>
        <v/>
      </c>
      <c r="J32" s="13" t="str">
        <f>IF(INV!J33="","",3*GDP!J33)</f>
        <v/>
      </c>
      <c r="K32" s="13" t="str">
        <f>IF(INV!K33="","",3*GDP!K33)</f>
        <v/>
      </c>
      <c r="L32" s="13">
        <f>(0.96)*L31+INV!L32</f>
        <v>19863887.24541337</v>
      </c>
    </row>
    <row r="33" spans="1:12" x14ac:dyDescent="0.25">
      <c r="A33" s="2">
        <v>29587</v>
      </c>
      <c r="B33" s="13">
        <f>(0.96)*B32+INV!B33</f>
        <v>1683274.2399877121</v>
      </c>
      <c r="C33" s="13">
        <f>(0.96)*C32+INV!C33</f>
        <v>2374602.812540181</v>
      </c>
      <c r="D33" s="13" t="str">
        <f>IF(INV!D34="","",3*GDP!D34)</f>
        <v/>
      </c>
      <c r="E33" s="13" t="str">
        <f>IF(INV!E34="","",3*GDP!E34)</f>
        <v/>
      </c>
      <c r="F33" s="13">
        <f>(0.96)*F32+INV!F33</f>
        <v>3556484.9730557827</v>
      </c>
      <c r="G33" s="13" t="str">
        <f>IF(INV!G34="","",3*GDP!G34)</f>
        <v/>
      </c>
      <c r="H33" s="13" t="str">
        <f>IF(INV!H34="","",3*GDP!H34)</f>
        <v/>
      </c>
      <c r="I33" s="13" t="str">
        <f>IF(INV!I34="","",3*GDP!I34)</f>
        <v/>
      </c>
      <c r="J33" s="13" t="str">
        <f>IF(INV!J34="","",3*GDP!J34)</f>
        <v/>
      </c>
      <c r="K33" s="13" t="str">
        <f>IF(INV!K34="","",3*GDP!K34)</f>
        <v/>
      </c>
      <c r="L33" s="13">
        <f>(0.96)*L32+INV!L33</f>
        <v>20329873.068096835</v>
      </c>
    </row>
    <row r="34" spans="1:12" x14ac:dyDescent="0.25">
      <c r="A34" s="2">
        <v>29952</v>
      </c>
      <c r="B34" s="13">
        <f>(0.96)*B33+INV!B34</f>
        <v>1745930.2703882037</v>
      </c>
      <c r="C34" s="13">
        <f>(0.96)*C33+INV!C34</f>
        <v>2454346.5008198237</v>
      </c>
      <c r="D34" s="13" t="str">
        <f>IF(INV!D35="","",3*GDP!D35)</f>
        <v/>
      </c>
      <c r="E34" s="13" t="str">
        <f>IF(INV!E35="","",3*GDP!E35)</f>
        <v/>
      </c>
      <c r="F34" s="13">
        <f>(0.96)*F33+INV!F34</f>
        <v>3666010.3174350513</v>
      </c>
      <c r="G34" s="13" t="str">
        <f>IF(INV!G35="","",3*GDP!G35)</f>
        <v/>
      </c>
      <c r="H34" s="13" t="str">
        <f>IF(INV!H35="","",3*GDP!H35)</f>
        <v/>
      </c>
      <c r="I34" s="13" t="str">
        <f>IF(INV!I35="","",3*GDP!I35)</f>
        <v/>
      </c>
      <c r="J34" s="13" t="str">
        <f>IF(INV!J35="","",3*GDP!J35)</f>
        <v/>
      </c>
      <c r="K34" s="13" t="str">
        <f>IF(INV!K35="","",3*GDP!K35)</f>
        <v/>
      </c>
      <c r="L34" s="13">
        <f>(0.96)*L33+INV!L34</f>
        <v>20714624.895372961</v>
      </c>
    </row>
    <row r="35" spans="1:12" x14ac:dyDescent="0.25">
      <c r="A35" s="2">
        <v>30317</v>
      </c>
      <c r="B35" s="13">
        <f>(0.96)*B34+INV!B35</f>
        <v>1797635.0595726755</v>
      </c>
      <c r="C35" s="13">
        <f>(0.96)*C34+INV!C35</f>
        <v>2529658.4415682806</v>
      </c>
      <c r="D35" s="13" t="str">
        <f>IF(INV!D36="","",3*GDP!D36)</f>
        <v/>
      </c>
      <c r="E35" s="13" t="str">
        <f>IF(INV!E36="","",3*GDP!E36)</f>
        <v/>
      </c>
      <c r="F35" s="13">
        <f>(0.96)*F34+INV!F35</f>
        <v>3762653.362832739</v>
      </c>
      <c r="G35" s="13" t="str">
        <f>IF(INV!G36="","",3*GDP!G36)</f>
        <v/>
      </c>
      <c r="H35" s="13" t="str">
        <f>IF(INV!H36="","",3*GDP!H36)</f>
        <v/>
      </c>
      <c r="I35" s="13" t="str">
        <f>IF(INV!I36="","",3*GDP!I36)</f>
        <v/>
      </c>
      <c r="J35" s="13" t="str">
        <f>IF(INV!J36="","",3*GDP!J36)</f>
        <v/>
      </c>
      <c r="K35" s="13" t="str">
        <f>IF(INV!K36="","",3*GDP!K36)</f>
        <v/>
      </c>
      <c r="L35" s="13">
        <f>(0.96)*L34+INV!L35</f>
        <v>21170949.712058041</v>
      </c>
    </row>
    <row r="36" spans="1:12" x14ac:dyDescent="0.25">
      <c r="A36" s="2">
        <v>30682</v>
      </c>
      <c r="B36" s="13">
        <f>(0.96)*B35+INV!B36</f>
        <v>1859482.6571897685</v>
      </c>
      <c r="C36" s="13">
        <f>(0.96)*C35+INV!C36</f>
        <v>2605718.4046867993</v>
      </c>
      <c r="D36" s="13" t="str">
        <f>IF(INV!D37="","",3*GDP!D37)</f>
        <v/>
      </c>
      <c r="E36" s="13" t="str">
        <f>IF(INV!E37="","",3*GDP!E37)</f>
        <v/>
      </c>
      <c r="F36" s="13">
        <f>(0.96)*F35+INV!F36</f>
        <v>3852639.1831645095</v>
      </c>
      <c r="G36" s="13" t="str">
        <f>IF(INV!G37="","",3*GDP!G37)</f>
        <v/>
      </c>
      <c r="H36" s="13" t="str">
        <f>IF(INV!H37="","",3*GDP!H37)</f>
        <v/>
      </c>
      <c r="I36" s="13" t="str">
        <f>IF(INV!I37="","",3*GDP!I37)</f>
        <v/>
      </c>
      <c r="J36" s="13" t="str">
        <f>IF(INV!J37="","",3*GDP!J37)</f>
        <v/>
      </c>
      <c r="K36" s="13" t="str">
        <f>IF(INV!K37="","",3*GDP!K37)</f>
        <v/>
      </c>
      <c r="L36" s="13">
        <f>(0.96)*L35+INV!L36</f>
        <v>21801875.161075719</v>
      </c>
    </row>
    <row r="37" spans="1:12" x14ac:dyDescent="0.25">
      <c r="A37" s="2">
        <v>31048</v>
      </c>
      <c r="B37" s="13">
        <f>(0.96)*B36+INV!B37</f>
        <v>1934024.3509021776</v>
      </c>
      <c r="C37" s="13">
        <f>(0.96)*C36+INV!C37</f>
        <v>2693784.4692805773</v>
      </c>
      <c r="D37" s="13" t="str">
        <f>IF(INV!D38="","",3*GDP!D38)</f>
        <v/>
      </c>
      <c r="E37" s="13" t="str">
        <f>IF(INV!E38="","",3*GDP!E38)</f>
        <v/>
      </c>
      <c r="F37" s="13">
        <f>(0.96)*F36+INV!F37</f>
        <v>3943691.9209568189</v>
      </c>
      <c r="G37" s="13" t="str">
        <f>IF(INV!G38="","",3*GDP!G38)</f>
        <v/>
      </c>
      <c r="H37" s="13" t="str">
        <f>IF(INV!H38="","",3*GDP!H38)</f>
        <v/>
      </c>
      <c r="I37" s="13" t="str">
        <f>IF(INV!I38="","",3*GDP!I38)</f>
        <v/>
      </c>
      <c r="J37" s="13" t="str">
        <f>IF(INV!J38="","",3*GDP!J38)</f>
        <v/>
      </c>
      <c r="K37" s="13" t="str">
        <f>IF(INV!K38="","",3*GDP!K38)</f>
        <v/>
      </c>
      <c r="L37" s="13">
        <f>(0.96)*L36+INV!L37</f>
        <v>22511075.467132688</v>
      </c>
    </row>
    <row r="38" spans="1:12" x14ac:dyDescent="0.25">
      <c r="A38" s="2">
        <v>31413</v>
      </c>
      <c r="B38" s="13">
        <f>(0.96)*B37+INV!B38</f>
        <v>2004812.3768660903</v>
      </c>
      <c r="C38" s="13">
        <f>(0.96)*C37+INV!C38</f>
        <v>2785942.8912906041</v>
      </c>
      <c r="D38" s="13" t="str">
        <f>IF(INV!D39="","",3*GDP!D39)</f>
        <v/>
      </c>
      <c r="E38" s="13" t="str">
        <f>IF(INV!E39="","",3*GDP!E39)</f>
        <v/>
      </c>
      <c r="F38" s="13">
        <f>(0.96)*F37+INV!F38</f>
        <v>4041216.0816286961</v>
      </c>
      <c r="G38" s="13" t="str">
        <f>IF(INV!G39="","",3*GDP!G39)</f>
        <v/>
      </c>
      <c r="H38" s="13" t="str">
        <f>IF(INV!H39="","",3*GDP!H39)</f>
        <v/>
      </c>
      <c r="I38" s="13" t="str">
        <f>IF(INV!I39="","",3*GDP!I39)</f>
        <v/>
      </c>
      <c r="J38" s="13" t="str">
        <f>IF(INV!J39="","",3*GDP!J39)</f>
        <v/>
      </c>
      <c r="K38" s="13" t="str">
        <f>IF(INV!K39="","",3*GDP!K39)</f>
        <v/>
      </c>
      <c r="L38" s="13">
        <f>(0.96)*L37+INV!L38</f>
        <v>23241652.88594738</v>
      </c>
    </row>
    <row r="39" spans="1:12" x14ac:dyDescent="0.25">
      <c r="A39" s="2">
        <v>31778</v>
      </c>
      <c r="B39" s="13">
        <f>(0.96)*B38+INV!B39</f>
        <v>2079595.8817914466</v>
      </c>
      <c r="C39" s="13">
        <f>(0.96)*C38+INV!C39</f>
        <v>2892556.2772014798</v>
      </c>
      <c r="D39" s="13" t="str">
        <f>IF(INV!D40="","",3*GDP!D40)</f>
        <v/>
      </c>
      <c r="E39" s="13" t="str">
        <f>IF(INV!E40="","",3*GDP!E40)</f>
        <v/>
      </c>
      <c r="F39" s="13">
        <f>(0.96)*F38+INV!F39</f>
        <v>4147933.4340729881</v>
      </c>
      <c r="G39" s="13" t="str">
        <f>IF(INV!G40="","",3*GDP!G40)</f>
        <v/>
      </c>
      <c r="H39" s="13" t="str">
        <f>IF(INV!H40="","",3*GDP!H40)</f>
        <v/>
      </c>
      <c r="I39" s="13" t="str">
        <f>IF(INV!I40="","",3*GDP!I40)</f>
        <v/>
      </c>
      <c r="J39" s="13" t="str">
        <f>IF(INV!J40="","",3*GDP!J40)</f>
        <v/>
      </c>
      <c r="K39" s="13" t="str">
        <f>IF(INV!K40="","",3*GDP!K40)</f>
        <v/>
      </c>
      <c r="L39" s="13">
        <f>(0.96)*L38+INV!L39</f>
        <v>23971845.083009485</v>
      </c>
    </row>
    <row r="40" spans="1:12" x14ac:dyDescent="0.25">
      <c r="A40" s="2">
        <v>32143</v>
      </c>
      <c r="B40" s="13">
        <f>(0.96)*B39+INV!B40</f>
        <v>2164778.0465197889</v>
      </c>
      <c r="C40" s="13">
        <f>(0.96)*C39+INV!C40</f>
        <v>3014805.6276759203</v>
      </c>
      <c r="D40" s="13" t="str">
        <f>IF(INV!D41="","",3*GDP!D41)</f>
        <v/>
      </c>
      <c r="E40" s="13" t="str">
        <f>IF(INV!E41="","",3*GDP!E41)</f>
        <v/>
      </c>
      <c r="F40" s="13">
        <f>(0.96)*F39+INV!F40</f>
        <v>4273381.5672177188</v>
      </c>
      <c r="G40" s="13" t="str">
        <f>IF(INV!G41="","",3*GDP!G41)</f>
        <v/>
      </c>
      <c r="H40" s="13" t="str">
        <f>IF(INV!H41="","",3*GDP!H41)</f>
        <v/>
      </c>
      <c r="I40" s="13" t="str">
        <f>IF(INV!I41="","",3*GDP!I41)</f>
        <v/>
      </c>
      <c r="J40" s="13" t="str">
        <f>IF(INV!J41="","",3*GDP!J41)</f>
        <v/>
      </c>
      <c r="K40" s="13" t="str">
        <f>IF(INV!K41="","",3*GDP!K41)</f>
        <v/>
      </c>
      <c r="L40" s="13">
        <f>(0.96)*L39+INV!L40</f>
        <v>24711206.404689103</v>
      </c>
    </row>
    <row r="41" spans="1:12" x14ac:dyDescent="0.25">
      <c r="A41" s="2">
        <v>32509</v>
      </c>
      <c r="B41" s="13">
        <f>(0.96)*B40+INV!B41</f>
        <v>2262483.924658997</v>
      </c>
      <c r="C41" s="13">
        <f>(0.96)*C40+INV!C41</f>
        <v>3144429.8049126333</v>
      </c>
      <c r="D41" s="13" t="str">
        <f>IF(INV!D42="","",3*GDP!D42)</f>
        <v/>
      </c>
      <c r="E41" s="13" t="str">
        <f>IF(INV!E42="","",3*GDP!E42)</f>
        <v/>
      </c>
      <c r="F41" s="13">
        <f>(0.96)*F40+INV!F41</f>
        <v>4414827.8156964099</v>
      </c>
      <c r="G41" s="13" t="str">
        <f>IF(INV!G42="","",3*GDP!G42)</f>
        <v/>
      </c>
      <c r="H41" s="13" t="str">
        <f>IF(INV!H42="","",3*GDP!H42)</f>
        <v/>
      </c>
      <c r="I41" s="13" t="str">
        <f>IF(INV!I42="","",3*GDP!I42)</f>
        <v/>
      </c>
      <c r="J41" s="13" t="str">
        <f>IF(INV!J42="","",3*GDP!J42)</f>
        <v/>
      </c>
      <c r="K41" s="13" t="str">
        <f>IF(INV!K42="","",3*GDP!K42)</f>
        <v/>
      </c>
      <c r="L41" s="13">
        <f>(0.96)*L40+INV!L41</f>
        <v>25470760.273501538</v>
      </c>
    </row>
    <row r="42" spans="1:12" x14ac:dyDescent="0.25">
      <c r="A42" s="2">
        <v>32874</v>
      </c>
      <c r="B42" s="13">
        <f>(0.96)*B41+INV!B42</f>
        <v>2344442.5676726368</v>
      </c>
      <c r="C42" s="13">
        <f>(0.96)*C41+INV!C42</f>
        <v>3260167.3158411277</v>
      </c>
      <c r="D42" s="13">
        <f>IF(INV!D43="","",3*GDP!D43)</f>
        <v>6188308.8061601995</v>
      </c>
      <c r="E42" s="13" t="str">
        <f>IF(INV!E43="","",3*GDP!E43)</f>
        <v/>
      </c>
      <c r="F42" s="13">
        <f>(0.96)*F41+INV!F42</f>
        <v>4564244.0781037835</v>
      </c>
      <c r="G42" s="13" t="str">
        <f>IF(INV!G43="","",3*GDP!G43)</f>
        <v/>
      </c>
      <c r="H42" s="13" t="str">
        <f>IF(INV!H43="","",3*GDP!H43)</f>
        <v/>
      </c>
      <c r="I42" s="13" t="str">
        <f>IF(INV!I43="","",3*GDP!I43)</f>
        <v/>
      </c>
      <c r="J42" s="13" t="str">
        <f>IF(INV!J43="","",3*GDP!J43)</f>
        <v/>
      </c>
      <c r="K42" s="13" t="str">
        <f>IF(INV!K43="","",3*GDP!K43)</f>
        <v/>
      </c>
      <c r="L42" s="13">
        <f>(0.96)*L41+INV!L42</f>
        <v>26198098.175061475</v>
      </c>
    </row>
    <row r="43" spans="1:12" x14ac:dyDescent="0.25">
      <c r="A43" s="2">
        <v>33239</v>
      </c>
      <c r="B43" s="13">
        <f>(0.96)*B42+INV!B43</f>
        <v>2406714.8649657313</v>
      </c>
      <c r="C43" s="13">
        <f>(0.96)*C42+INV!C43</f>
        <v>3361075.3263324825</v>
      </c>
      <c r="D43" s="13">
        <f>(0.96)*D42+INV!D43</f>
        <v>6391081.0722846407</v>
      </c>
      <c r="E43" s="13" t="str">
        <f>IF(INV!E44="","",3*GDP!E44)</f>
        <v/>
      </c>
      <c r="F43" s="13">
        <f>(0.96)*F42+INV!F43</f>
        <v>4706011.9008954726</v>
      </c>
      <c r="G43" s="13" t="str">
        <f>IF(INV!G44="","",3*GDP!G44)</f>
        <v/>
      </c>
      <c r="H43" s="13" t="str">
        <f>IF(INV!H44="","",3*GDP!H44)</f>
        <v/>
      </c>
      <c r="I43" s="13" t="str">
        <f>IF(INV!I44="","",3*GDP!I44)</f>
        <v/>
      </c>
      <c r="J43" s="13" t="str">
        <f>IF(INV!J44="","",3*GDP!J44)</f>
        <v/>
      </c>
      <c r="K43" s="13" t="str">
        <f>IF(INV!K44="","",3*GDP!K44)</f>
        <v/>
      </c>
      <c r="L43" s="13">
        <f>(0.96)*L42+INV!L43</f>
        <v>26824627.060559016</v>
      </c>
    </row>
    <row r="44" spans="1:12" x14ac:dyDescent="0.25">
      <c r="A44" s="2">
        <v>33604</v>
      </c>
      <c r="B44" s="13">
        <f>(0.96)*B43+INV!B44</f>
        <v>2471565.2703671018</v>
      </c>
      <c r="C44" s="13">
        <f>(0.96)*C43+INV!C44</f>
        <v>3451147.6140604331</v>
      </c>
      <c r="D44" s="13">
        <f>(0.96)*D43+INV!D44</f>
        <v>6603754.6288386649</v>
      </c>
      <c r="E44" s="13" t="str">
        <f>IF(INV!E45="","",3*GDP!E45)</f>
        <v/>
      </c>
      <c r="F44" s="13">
        <f>(0.96)*F43+INV!F44</f>
        <v>4835318.5155604929</v>
      </c>
      <c r="G44" s="13" t="str">
        <f>IF(INV!G45="","",3*GDP!G45)</f>
        <v/>
      </c>
      <c r="H44" s="13" t="str">
        <f>IF(INV!H45="","",3*GDP!H45)</f>
        <v/>
      </c>
      <c r="I44" s="13" t="str">
        <f>IF(INV!I45="","",3*GDP!I45)</f>
        <v/>
      </c>
      <c r="J44" s="13">
        <f>IF(INV!J45="","",3*GDP!J45)</f>
        <v>41691323.25</v>
      </c>
      <c r="K44" s="13" t="str">
        <f>IF(INV!K45="","",3*GDP!K45)</f>
        <v/>
      </c>
      <c r="L44" s="13">
        <f>(0.96)*L43+INV!L44</f>
        <v>27494747.790636655</v>
      </c>
    </row>
    <row r="45" spans="1:12" x14ac:dyDescent="0.25">
      <c r="A45" s="2">
        <v>33970</v>
      </c>
      <c r="B45" s="13">
        <f>(0.96)*B44+INV!B45</f>
        <v>2542117.6595524177</v>
      </c>
      <c r="C45" s="13">
        <f>(0.96)*C44+INV!C45</f>
        <v>3535009.5102792657</v>
      </c>
      <c r="D45" s="13">
        <f>(0.96)*D44+INV!D45</f>
        <v>6787948.5548148677</v>
      </c>
      <c r="E45" s="13" t="str">
        <f>IF(INV!E46="","",3*GDP!E46)</f>
        <v/>
      </c>
      <c r="F45" s="13">
        <f>(0.96)*F44+INV!F45</f>
        <v>4941411.840452943</v>
      </c>
      <c r="G45" s="13" t="str">
        <f>IF(INV!G46="","",3*GDP!G46)</f>
        <v/>
      </c>
      <c r="H45" s="13" t="str">
        <f>IF(INV!H46="","",3*GDP!H46)</f>
        <v/>
      </c>
      <c r="I45" s="13">
        <f>IF(INV!I46="","",3*GDP!I46)</f>
        <v>1339566888</v>
      </c>
      <c r="J45" s="13">
        <f>(0.96)*J44+INV!J45</f>
        <v>43144620.5075</v>
      </c>
      <c r="K45" s="13" t="str">
        <f>IF(INV!K46="","",3*GDP!K46)</f>
        <v/>
      </c>
      <c r="L45" s="13">
        <f>(0.96)*L44+INV!L45</f>
        <v>28226875.316511188</v>
      </c>
    </row>
    <row r="46" spans="1:12" x14ac:dyDescent="0.25">
      <c r="A46" s="2">
        <v>34335</v>
      </c>
      <c r="B46" s="13">
        <f>(0.96)*B45+INV!B46</f>
        <v>2633001.953170321</v>
      </c>
      <c r="C46" s="13">
        <f>(0.96)*C45+INV!C46</f>
        <v>3630387.8329930948</v>
      </c>
      <c r="D46" s="13">
        <f>(0.96)*D45+INV!D46</f>
        <v>6980826.3975854935</v>
      </c>
      <c r="E46" s="13">
        <f>IF(INV!E47="","",3*GDP!E47)</f>
        <v>2162535.5829745498</v>
      </c>
      <c r="F46" s="13">
        <f>(0.96)*F45+INV!F46</f>
        <v>5047404.9356664345</v>
      </c>
      <c r="G46" s="13">
        <f>IF(INV!G47="","",3*GDP!G47)</f>
        <v>4065069</v>
      </c>
      <c r="H46" s="13">
        <f>IF(INV!H47="","",3*GDP!H47)</f>
        <v>4248354.4610033995</v>
      </c>
      <c r="I46" s="13">
        <f>(0.96)*I45+INV!I46</f>
        <v>1427081412.48</v>
      </c>
      <c r="J46" s="13">
        <f>(0.96)*J45+INV!J46</f>
        <v>44950487.249700002</v>
      </c>
      <c r="K46" s="13" t="str">
        <f>IF(INV!K47="","",3*GDP!K47)</f>
        <v/>
      </c>
      <c r="L46" s="13">
        <f>(0.96)*L45+INV!L46</f>
        <v>29041552.61635074</v>
      </c>
    </row>
    <row r="47" spans="1:12" x14ac:dyDescent="0.25">
      <c r="A47" s="2">
        <v>34700</v>
      </c>
      <c r="B47" s="13">
        <f>(0.96)*B46+INV!B47</f>
        <v>2720081.8750435081</v>
      </c>
      <c r="C47" s="13">
        <f>(0.96)*C46+INV!C47</f>
        <v>3718718.319673371</v>
      </c>
      <c r="D47" s="13">
        <f>(0.96)*D46+INV!D47</f>
        <v>7165070.1326369336</v>
      </c>
      <c r="E47" s="13">
        <f>(0.96)*E46+INV!E47</f>
        <v>2229068.7905093376</v>
      </c>
      <c r="F47" s="13">
        <f>(0.96)*F46+INV!F47</f>
        <v>5153236.2961622877</v>
      </c>
      <c r="G47" s="13">
        <f>(0.96)*G46+INV!G47</f>
        <v>4141460.2399999998</v>
      </c>
      <c r="H47" s="13">
        <f>(0.96)*H46+INV!H47</f>
        <v>4353004.5895587439</v>
      </c>
      <c r="I47" s="13">
        <f>(0.96)*I46+INV!I47</f>
        <v>1515617855.9807999</v>
      </c>
      <c r="J47" s="13">
        <f>(0.96)*J46+INV!J47</f>
        <v>45487048.572212003</v>
      </c>
      <c r="K47" s="13" t="str">
        <f>IF(INV!K48="","",3*GDP!K48)</f>
        <v/>
      </c>
      <c r="L47" s="13">
        <f>(0.96)*L46+INV!L47</f>
        <v>29923857.636696711</v>
      </c>
    </row>
    <row r="48" spans="1:12" x14ac:dyDescent="0.25">
      <c r="A48" s="2">
        <v>35065</v>
      </c>
      <c r="B48" s="13">
        <f>(0.96)*B47+INV!B48</f>
        <v>2816201.6000417676</v>
      </c>
      <c r="C48" s="13">
        <f>(0.96)*C47+INV!C48</f>
        <v>3816989.1884489362</v>
      </c>
      <c r="D48" s="13">
        <f>(0.96)*D47+INV!D48</f>
        <v>7339861.0835020468</v>
      </c>
      <c r="E48" s="13">
        <f>(0.96)*E47+INV!E48</f>
        <v>2296767.4054593439</v>
      </c>
      <c r="F48" s="13">
        <f>(0.96)*F47+INV!F48</f>
        <v>5255823.268895776</v>
      </c>
      <c r="G48" s="13">
        <f>(0.96)*G47+INV!G48</f>
        <v>4225947.8303999994</v>
      </c>
      <c r="H48" s="13">
        <f>(0.96)*H47+INV!H48</f>
        <v>4459537.9660989642</v>
      </c>
      <c r="I48" s="13">
        <f>(0.96)*I47+INV!I48</f>
        <v>1610524441.7415679</v>
      </c>
      <c r="J48" s="13">
        <f>(0.96)*J47+INV!J48</f>
        <v>46435717.06682352</v>
      </c>
      <c r="K48" s="13" t="str">
        <f>IF(INV!K49="","",3*GDP!K49)</f>
        <v/>
      </c>
      <c r="L48" s="13">
        <f>(0.96)*L47+INV!L48</f>
        <v>30927319.956228841</v>
      </c>
    </row>
    <row r="49" spans="1:12" x14ac:dyDescent="0.25">
      <c r="A49" s="2">
        <v>35431</v>
      </c>
      <c r="B49" s="13">
        <f>(0.96)*B48+INV!B49</f>
        <v>2933673.536040097</v>
      </c>
      <c r="C49" s="13">
        <f>(0.96)*C48+INV!C49</f>
        <v>3940181.7146609784</v>
      </c>
      <c r="D49" s="13">
        <f>(0.96)*D48+INV!D49</f>
        <v>7510049.7624529451</v>
      </c>
      <c r="E49" s="13">
        <f>(0.96)*E48+INV!E49</f>
        <v>2370423.7541511604</v>
      </c>
      <c r="F49" s="13">
        <f>(0.96)*F48+INV!F49</f>
        <v>5354981.4506589845</v>
      </c>
      <c r="G49" s="13">
        <f>(0.96)*G48+INV!G49</f>
        <v>4303367.917183999</v>
      </c>
      <c r="H49" s="13">
        <f>(0.96)*H48+INV!H49</f>
        <v>4568085.6820724858</v>
      </c>
      <c r="I49" s="13">
        <f>(0.96)*I48+INV!I49</f>
        <v>1698650164.0719051</v>
      </c>
      <c r="J49" s="13">
        <f>(0.96)*J48+INV!J49</f>
        <v>47773749.07165058</v>
      </c>
      <c r="K49" s="13">
        <f>IF(INV!K50="","",3*GDP!K50)</f>
        <v>2281726.9874031898</v>
      </c>
      <c r="L49" s="13">
        <f>(0.96)*L48+INV!L49</f>
        <v>32048658.595479686</v>
      </c>
    </row>
    <row r="50" spans="1:12" x14ac:dyDescent="0.25">
      <c r="A50" s="2">
        <v>35796</v>
      </c>
      <c r="B50" s="13">
        <f>(0.96)*B49+INV!B50</f>
        <v>3057448.5945984931</v>
      </c>
      <c r="C50" s="13">
        <f>(0.96)*C49+INV!C50</f>
        <v>4067368.5398245393</v>
      </c>
      <c r="D50" s="13">
        <f>(0.96)*D49+INV!D50</f>
        <v>7692117.0059235971</v>
      </c>
      <c r="E50" s="13">
        <f>(0.96)*E49+INV!E50</f>
        <v>2458951.3514603036</v>
      </c>
      <c r="F50" s="13">
        <f>(0.96)*F49+INV!F50</f>
        <v>5469803.5932498854</v>
      </c>
      <c r="G50" s="13">
        <f>(0.96)*G49+INV!G50</f>
        <v>4391876.2004966382</v>
      </c>
      <c r="H50" s="13">
        <f>(0.96)*H49+INV!H50</f>
        <v>4683674.2331037261</v>
      </c>
      <c r="I50" s="13">
        <f>(0.96)*I49+INV!I50</f>
        <v>1776736457.5090289</v>
      </c>
      <c r="J50" s="13">
        <f>(0.96)*J49+INV!J50</f>
        <v>49399551.358784556</v>
      </c>
      <c r="K50" s="13">
        <f>(0.96)*K49+INV!K50</f>
        <v>2338863.5216865921</v>
      </c>
      <c r="L50" s="13">
        <f>(0.96)*L49+INV!L50</f>
        <v>33344329.876660496</v>
      </c>
    </row>
    <row r="51" spans="1:12" x14ac:dyDescent="0.25">
      <c r="A51" s="2">
        <v>36161</v>
      </c>
      <c r="B51" s="13">
        <f>(0.96)*B50+INV!B51</f>
        <v>3188854.6508145533</v>
      </c>
      <c r="C51" s="13">
        <f>(0.96)*C50+INV!C51</f>
        <v>4204086.095106557</v>
      </c>
      <c r="D51" s="13">
        <f>(0.96)*D50+INV!D51</f>
        <v>7887609.4465052933</v>
      </c>
      <c r="E51" s="13">
        <f>(0.96)*E50+INV!E51</f>
        <v>2562107.4194095815</v>
      </c>
      <c r="F51" s="13">
        <f>(0.96)*F50+INV!F51</f>
        <v>5605051.2308645891</v>
      </c>
      <c r="G51" s="13">
        <f>(0.96)*G50+INV!G51</f>
        <v>4481334.1524767727</v>
      </c>
      <c r="H51" s="13">
        <f>(0.96)*H50+INV!H51</f>
        <v>4808390.7174774772</v>
      </c>
      <c r="I51" s="13">
        <f>(0.96)*I50+INV!I51</f>
        <v>1850109299.2086678</v>
      </c>
      <c r="J51" s="13">
        <f>(0.96)*J50+INV!J51</f>
        <v>51121410.429433174</v>
      </c>
      <c r="K51" s="13">
        <f>(0.96)*K50+INV!K51</f>
        <v>2372287.9496105285</v>
      </c>
      <c r="L51" s="13">
        <f>(0.96)*L50+INV!L51</f>
        <v>34802748.494094074</v>
      </c>
    </row>
    <row r="52" spans="1:12" x14ac:dyDescent="0.25">
      <c r="A52" s="2">
        <v>36526</v>
      </c>
      <c r="B52" s="13">
        <f>(0.96)*B51+INV!B52</f>
        <v>3320255.4647819712</v>
      </c>
      <c r="C52" s="13">
        <f>(0.96)*C51+INV!C52</f>
        <v>4350498.0419272948</v>
      </c>
      <c r="D52" s="13">
        <f>(0.96)*D51+INV!D52</f>
        <v>8085758.6645912211</v>
      </c>
      <c r="E52" s="13">
        <f>(0.96)*E51+INV!E52</f>
        <v>2676575.1910301284</v>
      </c>
      <c r="F52" s="13">
        <f>(0.96)*F51+INV!F52</f>
        <v>5758315.0946442448</v>
      </c>
      <c r="G52" s="13">
        <f>(0.96)*G51+INV!G52</f>
        <v>4582394.7863777019</v>
      </c>
      <c r="H52" s="13">
        <f>(0.96)*H51+INV!H52</f>
        <v>4949656.9385222076</v>
      </c>
      <c r="I52" s="13">
        <f>(0.96)*I51+INV!I52</f>
        <v>1921456227.2403209</v>
      </c>
      <c r="J52" s="13">
        <f>(0.96)*J51+INV!J52</f>
        <v>52956272.887255847</v>
      </c>
      <c r="K52" s="13">
        <f>(0.96)*K51+INV!K52</f>
        <v>2432194.6103606871</v>
      </c>
      <c r="L52" s="13">
        <f>(0.96)*L51+INV!L52</f>
        <v>36381461.179330304</v>
      </c>
    </row>
    <row r="53" spans="1:12" x14ac:dyDescent="0.25">
      <c r="A53" s="2">
        <v>36892</v>
      </c>
      <c r="B53" s="13">
        <f>(0.96)*B52+INV!B53</f>
        <v>3437893.2461906923</v>
      </c>
      <c r="C53" s="13">
        <f>(0.96)*C52+INV!C53</f>
        <v>4506212.4171252027</v>
      </c>
      <c r="D53" s="13">
        <f>(0.96)*D52+INV!D53</f>
        <v>8262564.6696457621</v>
      </c>
      <c r="E53" s="13">
        <f>(0.96)*E52+INV!E53</f>
        <v>2795549.5507846233</v>
      </c>
      <c r="F53" s="13">
        <f>(0.96)*F52+INV!F53</f>
        <v>5913281.7878347244</v>
      </c>
      <c r="G53" s="13">
        <f>(0.96)*G52+INV!G53</f>
        <v>4684982.9949225932</v>
      </c>
      <c r="H53" s="13">
        <f>(0.96)*H52+INV!H53</f>
        <v>5093331.4054868091</v>
      </c>
      <c r="I53" s="13">
        <f>(0.96)*I52+INV!I53</f>
        <v>1987988078.150708</v>
      </c>
      <c r="J53" s="13">
        <f>(0.96)*J52+INV!J53</f>
        <v>54451924.159265615</v>
      </c>
      <c r="K53" s="13">
        <f>(0.96)*K52+INV!K53</f>
        <v>2447894.1618967596</v>
      </c>
      <c r="L53" s="13">
        <f>(0.96)*L52+INV!L53</f>
        <v>37884455.669657089</v>
      </c>
    </row>
    <row r="54" spans="1:12" x14ac:dyDescent="0.25">
      <c r="A54" s="2">
        <v>37257</v>
      </c>
      <c r="B54" s="13">
        <f>(0.96)*B53+INV!B54</f>
        <v>3588027.5163430646</v>
      </c>
      <c r="C54" s="13">
        <f>(0.96)*C53+INV!C54</f>
        <v>4658979.3110651942</v>
      </c>
      <c r="D54" s="13">
        <f>(0.96)*D53+INV!D54</f>
        <v>8401910.5306671523</v>
      </c>
      <c r="E54" s="13">
        <f>(0.96)*E53+INV!E54</f>
        <v>2918996.5906458185</v>
      </c>
      <c r="F54" s="13">
        <f>(0.96)*F53+INV!F54</f>
        <v>6058369.7054926353</v>
      </c>
      <c r="G54" s="13">
        <f>(0.96)*G53+INV!G54</f>
        <v>4789167.6751256892</v>
      </c>
      <c r="H54" s="13">
        <f>(0.96)*H53+INV!H54</f>
        <v>5243613.8635154264</v>
      </c>
      <c r="I54" s="13">
        <f>(0.96)*I53+INV!I54</f>
        <v>2044924655.0246797</v>
      </c>
      <c r="J54" s="13">
        <f>(0.96)*J53+INV!J54</f>
        <v>55867677.005394988</v>
      </c>
      <c r="K54" s="13">
        <f>(0.96)*K53+INV!K54</f>
        <v>2483101.2261625696</v>
      </c>
      <c r="L54" s="13">
        <f>(0.96)*L53+INV!L54</f>
        <v>39277166.942870803</v>
      </c>
    </row>
    <row r="55" spans="1:12" x14ac:dyDescent="0.25">
      <c r="A55" s="2">
        <v>37622</v>
      </c>
      <c r="B55" s="13">
        <f>(0.96)*B54+INV!B55</f>
        <v>3757747.4156893417</v>
      </c>
      <c r="C55" s="13">
        <f>(0.96)*C54+INV!C55</f>
        <v>4823021.0292475866</v>
      </c>
      <c r="D55" s="13">
        <f>(0.96)*D54+INV!D55</f>
        <v>8528085.583369635</v>
      </c>
      <c r="E55" s="13">
        <f>(0.96)*E54+INV!E55</f>
        <v>3052980.5400425955</v>
      </c>
      <c r="F55" s="13">
        <f>(0.96)*F54+INV!F55</f>
        <v>6206653.3540605996</v>
      </c>
      <c r="G55" s="13">
        <f>(0.96)*G54+INV!G55</f>
        <v>4896517.9681206616</v>
      </c>
      <c r="H55" s="13">
        <f>(0.96)*H54+INV!H55</f>
        <v>5384747.0465015387</v>
      </c>
      <c r="I55" s="13">
        <f>(0.96)*I54+INV!I55</f>
        <v>2098723368.8236923</v>
      </c>
      <c r="J55" s="13">
        <f>(0.96)*J54+INV!J55</f>
        <v>57289663.987679183</v>
      </c>
      <c r="K55" s="13">
        <f>(0.96)*K54+INV!K55</f>
        <v>2542718.0998347267</v>
      </c>
      <c r="L55" s="13">
        <f>(0.96)*L54+INV!L55</f>
        <v>40737382.890155971</v>
      </c>
    </row>
    <row r="56" spans="1:12" x14ac:dyDescent="0.25">
      <c r="A56" s="2">
        <v>37987</v>
      </c>
      <c r="B56" s="13">
        <f>(0.96)*B55+INV!B56</f>
        <v>3943738.519061768</v>
      </c>
      <c r="C56" s="13">
        <f>(0.96)*C55+INV!C56</f>
        <v>5010053.9849526826</v>
      </c>
      <c r="D56" s="13">
        <f>(0.96)*D55+INV!D56</f>
        <v>8647130.5908609591</v>
      </c>
      <c r="E56" s="13">
        <f>(0.96)*E55+INV!E56</f>
        <v>3193052.5877326415</v>
      </c>
      <c r="F56" s="13">
        <f>(0.96)*F55+INV!F56</f>
        <v>6363079.0896808151</v>
      </c>
      <c r="G56" s="13">
        <f>(0.96)*G55+INV!G56</f>
        <v>5007527.2493958352</v>
      </c>
      <c r="H56" s="13">
        <f>(0.96)*H55+INV!H56</f>
        <v>5526055.5198279275</v>
      </c>
      <c r="I56" s="13">
        <f>(0.96)*I55+INV!I56</f>
        <v>2150767134.0707445</v>
      </c>
      <c r="J56" s="13">
        <f>(0.96)*J55+INV!J56</f>
        <v>58897185.928172015</v>
      </c>
      <c r="K56" s="13">
        <f>(0.96)*K55+INV!K56</f>
        <v>2650682.1016253876</v>
      </c>
      <c r="L56" s="13">
        <f>(0.96)*L55+INV!L56</f>
        <v>42320851.887049727</v>
      </c>
    </row>
    <row r="57" spans="1:12" x14ac:dyDescent="0.25">
      <c r="A57" s="2">
        <v>38353</v>
      </c>
      <c r="B57" s="13">
        <f>(0.96)*B56+INV!B57</f>
        <v>4149965.9782992969</v>
      </c>
      <c r="C57" s="13">
        <f>(0.96)*C56+INV!C57</f>
        <v>5224274.7161795748</v>
      </c>
      <c r="D57" s="13">
        <f>(0.96)*D56+INV!D57</f>
        <v>8765518.6163277701</v>
      </c>
      <c r="E57" s="13">
        <f>(0.96)*E56+INV!E57</f>
        <v>3345813.1203851853</v>
      </c>
      <c r="F57" s="13">
        <f>(0.96)*F56+INV!F57</f>
        <v>6525255.4495041221</v>
      </c>
      <c r="G57" s="13">
        <f>(0.96)*G56+INV!G57</f>
        <v>5126725.1594200013</v>
      </c>
      <c r="H57" s="13">
        <f>(0.96)*H56+INV!H57</f>
        <v>5667687.924750221</v>
      </c>
      <c r="I57" s="13">
        <f>(0.96)*I56+INV!I57</f>
        <v>2204765048.7079144</v>
      </c>
      <c r="J57" s="13">
        <f>(0.96)*J56+INV!J57</f>
        <v>60633256.741045132</v>
      </c>
      <c r="K57" s="13">
        <f>(0.96)*K56+INV!K57</f>
        <v>2795358.1432475122</v>
      </c>
      <c r="L57" s="13">
        <f>(0.96)*L56+INV!L57</f>
        <v>44035666.811567739</v>
      </c>
    </row>
    <row r="58" spans="1:12" x14ac:dyDescent="0.25">
      <c r="A58" s="2">
        <v>38718</v>
      </c>
      <c r="B58" s="13">
        <f>(0.96)*B57+INV!B58</f>
        <v>4362965.3391673248</v>
      </c>
      <c r="C58" s="13">
        <f>(0.96)*C57+INV!C58</f>
        <v>5455967.5244073914</v>
      </c>
      <c r="D58" s="13">
        <f>(0.96)*D57+INV!D58</f>
        <v>8914153.9696923085</v>
      </c>
      <c r="E58" s="13">
        <f>(0.96)*E57+INV!E58</f>
        <v>3512825.0683408878</v>
      </c>
      <c r="F58" s="13">
        <f>(0.96)*F57+INV!F58</f>
        <v>6699171.8260435769</v>
      </c>
      <c r="G58" s="13">
        <f>(0.96)*G57+INV!G58</f>
        <v>5250353.1530432012</v>
      </c>
      <c r="H58" s="13">
        <f>(0.96)*H57+INV!H58</f>
        <v>5813119.1742426725</v>
      </c>
      <c r="I58" s="13">
        <f>(0.96)*I57+INV!I58</f>
        <v>2257161846.7595978</v>
      </c>
      <c r="J58" s="13">
        <f>(0.96)*J57+INV!J58</f>
        <v>62690937.346403323</v>
      </c>
      <c r="K58" s="13">
        <f>(0.96)*K57+INV!K58</f>
        <v>2972820.6856230516</v>
      </c>
      <c r="L58" s="13">
        <f>(0.96)*L57+INV!L58</f>
        <v>45773021.576605029</v>
      </c>
    </row>
    <row r="59" spans="1:12" x14ac:dyDescent="0.25">
      <c r="A59" s="2">
        <v>39083</v>
      </c>
      <c r="B59" s="13">
        <f>(0.96)*B58+INV!B59</f>
        <v>4598918.7256006319</v>
      </c>
      <c r="C59" s="13">
        <f>(0.96)*C58+INV!C59</f>
        <v>5692350.714056096</v>
      </c>
      <c r="D59" s="13">
        <f>(0.96)*D58+INV!D59</f>
        <v>9074917.3579278067</v>
      </c>
      <c r="E59" s="13">
        <f>(0.96)*E58+INV!E59</f>
        <v>3685176.1115947021</v>
      </c>
      <c r="F59" s="13">
        <f>(0.96)*F58+INV!F59</f>
        <v>6889885.5217879936</v>
      </c>
      <c r="G59" s="13">
        <f>(0.96)*G58+INV!G59</f>
        <v>5383367.0269214725</v>
      </c>
      <c r="H59" s="13">
        <f>(0.96)*H58+INV!H59</f>
        <v>5958659.6056118058</v>
      </c>
      <c r="I59" s="13">
        <f>(0.96)*I58+INV!I59</f>
        <v>2304436672.8892136</v>
      </c>
      <c r="J59" s="13">
        <f>(0.96)*J58+INV!J59</f>
        <v>64980081.227547191</v>
      </c>
      <c r="K59" s="13">
        <f>(0.96)*K58+INV!K59</f>
        <v>3159086.7549946397</v>
      </c>
      <c r="L59" s="13">
        <f>(0.96)*L58+INV!L59</f>
        <v>47420626.33854083</v>
      </c>
    </row>
    <row r="60" spans="1:12" x14ac:dyDescent="0.25">
      <c r="A60" s="2">
        <v>39448</v>
      </c>
      <c r="B60" s="13">
        <f>(0.96)*B59+INV!B60</f>
        <v>4854786.9765766067</v>
      </c>
      <c r="C60" s="13">
        <f>(0.96)*C59+INV!C60</f>
        <v>5926672.076118852</v>
      </c>
      <c r="D60" s="13">
        <f>(0.96)*D59+INV!D60</f>
        <v>9237398.5875719842</v>
      </c>
      <c r="E60" s="13">
        <f>(0.96)*E59+INV!E60</f>
        <v>3837500.0099582737</v>
      </c>
      <c r="F60" s="13">
        <f>(0.96)*F59+INV!F60</f>
        <v>7078503.3641728731</v>
      </c>
      <c r="G60" s="13">
        <f>(0.96)*G59+INV!G60</f>
        <v>5499979.3458446134</v>
      </c>
      <c r="H60" s="13">
        <f>(0.96)*H59+INV!H60</f>
        <v>6085860.6374542629</v>
      </c>
      <c r="I60" s="13">
        <f>(0.96)*I59+INV!I60</f>
        <v>2344562705.9736447</v>
      </c>
      <c r="J60" s="13">
        <f>(0.96)*J59+INV!J60</f>
        <v>67490937.478445292</v>
      </c>
      <c r="K60" s="13">
        <f>(0.96)*K59+INV!K60</f>
        <v>3329606.3815602539</v>
      </c>
      <c r="L60" s="13">
        <f>(0.96)*L59+INV!L60</f>
        <v>48856031.409999192</v>
      </c>
    </row>
    <row r="61" spans="1:12" x14ac:dyDescent="0.25">
      <c r="A61" s="2">
        <v>39814</v>
      </c>
      <c r="B61" s="13">
        <f>(0.96)*B60+INV!B61</f>
        <v>5090540.497513542</v>
      </c>
      <c r="C61" s="13">
        <f>(0.96)*C60+INV!C61</f>
        <v>6099345.2868240979</v>
      </c>
      <c r="D61" s="13">
        <f>(0.96)*D60+INV!D61</f>
        <v>9342591.1003668755</v>
      </c>
      <c r="E61" s="13">
        <f>(0.96)*E60+INV!E61</f>
        <v>3932391.8999623926</v>
      </c>
      <c r="F61" s="13">
        <f>(0.96)*F60+INV!F61</f>
        <v>7216734.8041138276</v>
      </c>
      <c r="G61" s="13">
        <f>(0.96)*G60+INV!G61</f>
        <v>5571190.1720108287</v>
      </c>
      <c r="H61" s="13">
        <f>(0.96)*H60+INV!H61</f>
        <v>6170013.203392732</v>
      </c>
      <c r="I61" s="13">
        <f>(0.96)*I60+INV!I61</f>
        <v>2369821997.7346988</v>
      </c>
      <c r="J61" s="13">
        <f>(0.96)*J60+INV!J61</f>
        <v>69291949.729307473</v>
      </c>
      <c r="K61" s="13">
        <f>(0.96)*K60+INV!K61</f>
        <v>3432279.1788564734</v>
      </c>
      <c r="L61" s="13">
        <f>(0.96)*L60+INV!L61</f>
        <v>49816757.091099225</v>
      </c>
    </row>
    <row r="62" spans="1:12" x14ac:dyDescent="0.25">
      <c r="A62" s="2">
        <v>40179</v>
      </c>
      <c r="B62" s="13">
        <f>(0.96)*B61+INV!B62</f>
        <v>5335182.8776129996</v>
      </c>
      <c r="C62" s="13">
        <f>(0.96)*C61+INV!C62</f>
        <v>6312277.7722261334</v>
      </c>
      <c r="D62" s="13">
        <f>(0.96)*D61+INV!D62</f>
        <v>9470655.4563522004</v>
      </c>
      <c r="E62" s="13">
        <f>(0.96)*E61+INV!E62</f>
        <v>4010713.2239638967</v>
      </c>
      <c r="F62" s="13">
        <f>(0.96)*F61+INV!F62</f>
        <v>7356865.6119492743</v>
      </c>
      <c r="G62" s="13">
        <f>(0.96)*G61+INV!G62</f>
        <v>5653374.5651303958</v>
      </c>
      <c r="H62" s="13">
        <f>(0.96)*H61+INV!H62</f>
        <v>6250663.0752570229</v>
      </c>
      <c r="I62" s="13">
        <f>(0.96)*I61+INV!I62</f>
        <v>2392519317.8253107</v>
      </c>
      <c r="J62" s="13">
        <f>(0.96)*J61+INV!J62</f>
        <v>71301342.865135163</v>
      </c>
      <c r="K62" s="13">
        <f>(0.96)*K61+INV!K62</f>
        <v>3582647.5127022145</v>
      </c>
      <c r="L62" s="13">
        <f>(0.96)*L61+INV!L62</f>
        <v>50804849.432455257</v>
      </c>
    </row>
    <row r="63" spans="1:12" x14ac:dyDescent="0.25">
      <c r="A63" s="2">
        <v>40544</v>
      </c>
      <c r="B63" s="13">
        <f>(0.96)*B62+INV!B63</f>
        <v>5602180.5625084797</v>
      </c>
      <c r="C63" s="13">
        <f>(0.96)*C62+INV!C63</f>
        <v>6537882.5519620879</v>
      </c>
      <c r="D63" s="13">
        <f>(0.96)*D62+INV!D63</f>
        <v>9630969.461453693</v>
      </c>
      <c r="E63" s="13">
        <f>(0.96)*E62+INV!E63</f>
        <v>4068595.9249512604</v>
      </c>
      <c r="F63" s="13">
        <f>(0.96)*F62+INV!F63</f>
        <v>7500399.6649924126</v>
      </c>
      <c r="G63" s="13">
        <f>(0.96)*G62+INV!G63</f>
        <v>5732593.5825251797</v>
      </c>
      <c r="H63" s="13">
        <f>(0.96)*H62+INV!H63</f>
        <v>6323075.1902080718</v>
      </c>
      <c r="I63" s="13">
        <f>(0.96)*I62+INV!I63</f>
        <v>2416916845.112298</v>
      </c>
      <c r="J63" s="13">
        <f>(0.96)*J62+INV!J63</f>
        <v>73645744.650529757</v>
      </c>
      <c r="K63" s="13">
        <f>(0.96)*K62+INV!K63</f>
        <v>3795106.084452006</v>
      </c>
      <c r="L63" s="13">
        <f>(0.96)*L62+INV!L63</f>
        <v>51891336.267657042</v>
      </c>
    </row>
    <row r="64" spans="1:12" x14ac:dyDescent="0.25">
      <c r="A64" s="2">
        <v>40909</v>
      </c>
      <c r="B64" s="13">
        <f>(0.96)*B63+INV!B64</f>
        <v>5906727.3400081405</v>
      </c>
      <c r="C64" s="13">
        <f>(0.96)*C63+INV!C64</f>
        <v>6777823.5467586042</v>
      </c>
      <c r="D64" s="13">
        <f>(0.96)*D63+INV!D64</f>
        <v>9783706.8572564144</v>
      </c>
      <c r="E64" s="13">
        <f>(0.96)*E63+INV!E64</f>
        <v>4108590.274127</v>
      </c>
      <c r="F64" s="13">
        <f>(0.96)*F63+INV!F64</f>
        <v>7637092.006485316</v>
      </c>
      <c r="G64" s="13">
        <f>(0.96)*G63+INV!G64</f>
        <v>5813511.8392241728</v>
      </c>
      <c r="H64" s="13">
        <f>(0.96)*H63+INV!H64</f>
        <v>6360859.6721092388</v>
      </c>
      <c r="I64" s="13">
        <f>(0.96)*I63+INV!I64</f>
        <v>2443667771.307806</v>
      </c>
      <c r="J64" s="13">
        <f>(0.96)*J63+INV!J64</f>
        <v>76090401.614508569</v>
      </c>
      <c r="K64" s="13">
        <f>(0.96)*K63+INV!K64</f>
        <v>4009249.7132387357</v>
      </c>
      <c r="L64" s="13">
        <f>(0.96)*L63+INV!L64</f>
        <v>53149894.254450761</v>
      </c>
    </row>
    <row r="65" spans="1:12" x14ac:dyDescent="0.25">
      <c r="A65" s="2">
        <v>41275</v>
      </c>
      <c r="B65" s="13">
        <f>(0.96)*B64+INV!B65</f>
        <v>6187646.2464078143</v>
      </c>
      <c r="C65" s="13">
        <f>(0.96)*C64+INV!C65</f>
        <v>7015432.4017632594</v>
      </c>
      <c r="D65" s="13">
        <f>(0.96)*D64+INV!D65</f>
        <v>9924146.8958488274</v>
      </c>
      <c r="E65" s="13">
        <f>(0.96)*E64+INV!E65</f>
        <v>4139862.5562488199</v>
      </c>
      <c r="F65" s="13">
        <f>(0.96)*F64+INV!F65</f>
        <v>7765926.1994786132</v>
      </c>
      <c r="G65" s="13">
        <f>(0.96)*G64+INV!G65</f>
        <v>5901274.3656552052</v>
      </c>
      <c r="H65" s="13">
        <f>(0.96)*H64+INV!H65</f>
        <v>6377570.5378462793</v>
      </c>
      <c r="I65" s="13">
        <f>(0.96)*I64+INV!I65</f>
        <v>2474424460.4554935</v>
      </c>
      <c r="J65" s="13">
        <f>(0.96)*J64+INV!J65</f>
        <v>78223290.924928218</v>
      </c>
      <c r="K65" s="13">
        <f>(0.96)*K64+INV!K65</f>
        <v>4266952.1873722663</v>
      </c>
      <c r="L65" s="13">
        <f>(0.96)*L64+INV!L65</f>
        <v>54494091.609272726</v>
      </c>
    </row>
    <row r="66" spans="1:12" x14ac:dyDescent="0.25">
      <c r="A66" s="2">
        <v>41640</v>
      </c>
      <c r="B66" s="13">
        <f>(0.96)*B65+INV!B66</f>
        <v>6445142.3965515019</v>
      </c>
      <c r="C66" s="13">
        <f>(0.96)*C65+INV!C66</f>
        <v>7254983.4025677284</v>
      </c>
      <c r="D66" s="13">
        <f>(0.96)*D65+INV!D66</f>
        <v>10078084.303454624</v>
      </c>
      <c r="E66" s="13">
        <f>(0.96)*E65+INV!E66</f>
        <v>4178430.9034830472</v>
      </c>
      <c r="F66" s="13">
        <f>(0.96)*F65+INV!F66</f>
        <v>7887885.376049309</v>
      </c>
      <c r="G66" s="13">
        <f>(0.96)*G65+INV!G66</f>
        <v>6008063.3910289966</v>
      </c>
      <c r="H66" s="13">
        <f>(0.96)*H65+INV!H66</f>
        <v>6387755.9021156682</v>
      </c>
      <c r="I66" s="13">
        <f>(0.96)*I65+INV!I66</f>
        <v>2506805782.0372734</v>
      </c>
      <c r="J66" s="13">
        <f>(0.96)*J65+INV!J66</f>
        <v>80395006.662931085</v>
      </c>
      <c r="K66" s="13">
        <f>(0.96)*K65+INV!K66</f>
        <v>4534875.4950581957</v>
      </c>
      <c r="L66" s="13">
        <f>(0.96)*L65+INV!L66</f>
        <v>55988971.257401817</v>
      </c>
    </row>
    <row r="67" spans="1:12" x14ac:dyDescent="0.25">
      <c r="A67" s="2">
        <v>42005</v>
      </c>
      <c r="B67" s="13">
        <f>(0.96)*B66+INV!B67</f>
        <v>6672171.7006894415</v>
      </c>
      <c r="C67" s="13">
        <f>(0.96)*C66+INV!C67</f>
        <v>7457851.9570900192</v>
      </c>
      <c r="D67" s="13">
        <f>(0.96)*D66+INV!D67</f>
        <v>10235544.23173729</v>
      </c>
      <c r="E67" s="13">
        <f>(0.96)*E66+INV!E67</f>
        <v>4226330.8326848149</v>
      </c>
      <c r="F67" s="13">
        <f>(0.96)*F66+INV!F67</f>
        <v>8007643.0389119666</v>
      </c>
      <c r="G67" s="13">
        <f>(0.96)*G66+INV!G67</f>
        <v>6135080.8553878367</v>
      </c>
      <c r="H67" s="13">
        <f>(0.96)*H66+INV!H67</f>
        <v>6402706.008834701</v>
      </c>
      <c r="I67" s="13">
        <f>(0.96)*I66+INV!I67</f>
        <v>2540888050.7557826</v>
      </c>
      <c r="J67" s="13">
        <f>(0.96)*J66+INV!J67</f>
        <v>82715620.771413833</v>
      </c>
      <c r="K67" s="13">
        <f>(0.96)*K66+INV!K67</f>
        <v>4832788.7911202377</v>
      </c>
      <c r="L67" s="13">
        <f>(0.96)*L66+INV!L67</f>
        <v>57585775.032105744</v>
      </c>
    </row>
    <row r="68" spans="1:12" x14ac:dyDescent="0.25">
      <c r="A68" s="2">
        <v>42370</v>
      </c>
      <c r="B68" s="13">
        <f>(0.96)*B67+INV!B68</f>
        <v>6878775.8326618634</v>
      </c>
      <c r="C68" s="13">
        <f>(0.96)*C67+INV!C68</f>
        <v>7629662.4725564178</v>
      </c>
      <c r="D68" s="13">
        <f>(0.96)*D67+INV!D68</f>
        <v>10407965.044479776</v>
      </c>
      <c r="E68" s="13">
        <f>(0.96)*E67+INV!E68</f>
        <v>4276687.0072917622</v>
      </c>
      <c r="F68" s="13">
        <f>(0.96)*F67+INV!F68</f>
        <v>8134619.2252484374</v>
      </c>
      <c r="G68" s="13">
        <f>(0.96)*G67+INV!G68</f>
        <v>6275902.6211723229</v>
      </c>
      <c r="H68" s="13">
        <f>(0.96)*H67+INV!H68</f>
        <v>6427463.1429624027</v>
      </c>
      <c r="I68" s="13">
        <f>(0.96)*I67+INV!I68</f>
        <v>2575164928.7255511</v>
      </c>
      <c r="J68" s="13">
        <f>(0.96)*J67+INV!J68</f>
        <v>84974465.565557271</v>
      </c>
      <c r="K68" s="13">
        <f>(0.96)*K67+INV!K68</f>
        <v>5129354.3508082582</v>
      </c>
      <c r="L68" s="13">
        <f>(0.96)*L67+INV!L68</f>
        <v>59230070.34332151</v>
      </c>
    </row>
    <row r="69" spans="1:12" x14ac:dyDescent="0.25">
      <c r="A69" s="2">
        <v>42736</v>
      </c>
      <c r="B69" s="13">
        <f>(0.96)*B68+INV!B69</f>
        <v>7093677.7993553886</v>
      </c>
      <c r="C69" s="13">
        <f>(0.96)*C68+INV!C69</f>
        <v>7810323.0674041612</v>
      </c>
      <c r="D69" s="13">
        <f>(0.96)*D68+INV!D69</f>
        <v>10588866.767942805</v>
      </c>
      <c r="E69" s="13">
        <f>(0.96)*E68+INV!E69</f>
        <v>4339840.5207103211</v>
      </c>
      <c r="F69" s="13">
        <f>(0.96)*F68+INV!F69</f>
        <v>8273058.2537103295</v>
      </c>
      <c r="G69" s="13">
        <f>(0.96)*G68+INV!G69</f>
        <v>6424618.51632543</v>
      </c>
      <c r="H69" s="13">
        <f>(0.96)*H68+INV!H69</f>
        <v>6460383.8495621169</v>
      </c>
      <c r="I69" s="13">
        <f>(0.96)*I68+INV!I69</f>
        <v>2610259331.576529</v>
      </c>
      <c r="J69" s="13">
        <f>(0.96)*J68+INV!J69</f>
        <v>87112624.942934975</v>
      </c>
      <c r="K69" s="13">
        <f>(0.96)*K68+INV!K69</f>
        <v>5454504.0392711675</v>
      </c>
      <c r="L69" s="13">
        <f>(0.96)*L68+INV!L69</f>
        <v>60977284.654588647</v>
      </c>
    </row>
    <row r="70" spans="1:12" x14ac:dyDescent="0.25">
      <c r="A70" s="2">
        <v>43101</v>
      </c>
      <c r="B70" s="13">
        <f>(0.96)*B69+INV!B70</f>
        <v>7311823.6873811726</v>
      </c>
      <c r="C70" s="13">
        <f>(0.96)*C69+INV!C70</f>
        <v>7995239.6447079945</v>
      </c>
      <c r="D70" s="13">
        <f>(0.96)*D69+INV!D70</f>
        <v>10784098.035394562</v>
      </c>
      <c r="E70" s="13">
        <f>(0.96)*E69+INV!E70</f>
        <v>4415665.3257012479</v>
      </c>
      <c r="F70" s="13">
        <f>(0.96)*F69+INV!F70</f>
        <v>8422203.8104506861</v>
      </c>
      <c r="G70" s="13">
        <f>(0.96)*G69+INV!G70</f>
        <v>6565471.7756724125</v>
      </c>
      <c r="H70" s="13">
        <f>(0.96)*H69+INV!H70</f>
        <v>6501501.8003200823</v>
      </c>
      <c r="I70" s="13">
        <f>(0.96)*I69+INV!I70</f>
        <v>2644775758.313468</v>
      </c>
      <c r="J70" s="13">
        <f>(0.96)*J69+INV!J70</f>
        <v>89200231.57021758</v>
      </c>
      <c r="K70" s="13">
        <f>(0.96)*K69+INV!K70</f>
        <v>5767412.2456096606</v>
      </c>
      <c r="L70" s="13">
        <f>(0.96)*L69+INV!L70</f>
        <v>62861471.018405102</v>
      </c>
    </row>
    <row r="71" spans="1:12" x14ac:dyDescent="0.25">
      <c r="A71" s="2">
        <v>43466</v>
      </c>
      <c r="B71" s="13">
        <f>(0.96)*B70+INV!B71</f>
        <v>7508515.7398859253</v>
      </c>
      <c r="C71" s="13">
        <f>(0.96)*C70+INV!C71</f>
        <v>8176621.6526696747</v>
      </c>
      <c r="D71" s="13">
        <f>(0.96)*D70+INV!D71</f>
        <v>10984079.570378808</v>
      </c>
      <c r="E71" s="13">
        <f>(0.96)*E70+INV!E71</f>
        <v>4500656.8415527279</v>
      </c>
      <c r="F71" s="13">
        <f>(0.96)*F70+INV!F71</f>
        <v>8585114.728547018</v>
      </c>
      <c r="G71" s="13">
        <f>(0.96)*G70+INV!G71</f>
        <v>6709275.9046455156</v>
      </c>
      <c r="H71" s="13">
        <f>(0.96)*H70+INV!H71</f>
        <v>6545705.5227270788</v>
      </c>
      <c r="I71" s="13">
        <f>(0.96)*I70+INV!I71</f>
        <v>2678672727.9809294</v>
      </c>
      <c r="J71" s="13">
        <f>(0.96)*J70+INV!J71</f>
        <v>90957461.432408869</v>
      </c>
      <c r="K71" s="13">
        <f>(0.96)*K70+INV!K71</f>
        <v>6001567.8888599146</v>
      </c>
      <c r="L71" s="13">
        <f>(0.96)*L70+INV!L71</f>
        <v>64796864.927668899</v>
      </c>
    </row>
    <row r="72" spans="1:12" x14ac:dyDescent="0.25">
      <c r="A72" s="2">
        <v>43831</v>
      </c>
      <c r="B72" s="13">
        <f>(0.96)*B71+INV!B72</f>
        <v>7685492.1102904882</v>
      </c>
      <c r="C72" s="13">
        <f>(0.96)*C71+INV!C72</f>
        <v>8331877.677187887</v>
      </c>
      <c r="D72" s="13">
        <f>(0.96)*D71+INV!D72</f>
        <v>11157375.732285906</v>
      </c>
      <c r="E72" s="13">
        <f>(0.96)*E71+INV!E72</f>
        <v>4558891.1780419992</v>
      </c>
      <c r="F72" s="13">
        <f>(0.96)*F71+INV!F72</f>
        <v>8712375.3775465973</v>
      </c>
      <c r="G72" s="13">
        <f>(0.96)*G71+INV!G72</f>
        <v>6803561.868459695</v>
      </c>
      <c r="H72" s="13">
        <f>(0.96)*H71+INV!H72</f>
        <v>6566518.8298883652</v>
      </c>
      <c r="I72" s="13">
        <f>(0.96)*I71+INV!I72</f>
        <v>2706093318.861692</v>
      </c>
      <c r="J72" s="13">
        <f>(0.96)*J71+INV!J72</f>
        <v>91730337.350112513</v>
      </c>
      <c r="K72" s="13">
        <f>(0.96)*K71+INV!K72</f>
        <v>6260420.1367551982</v>
      </c>
      <c r="L72" s="13">
        <f>(0.96)*L71+INV!L72</f>
        <v>66618570.080562145</v>
      </c>
    </row>
    <row r="73" spans="1:12" x14ac:dyDescent="0.25">
      <c r="A73" s="2">
        <v>44197</v>
      </c>
      <c r="B73" s="13">
        <f>(0.96)*B72+INV!B73</f>
        <v>7906417.4258788684</v>
      </c>
      <c r="C73" s="13">
        <f>(0.96)*C72+INV!C73</f>
        <v>8525784.4607253708</v>
      </c>
      <c r="D73" s="13">
        <f>(0.96)*D72+INV!D73</f>
        <v>11327661.0705177</v>
      </c>
      <c r="E73" s="13">
        <f>(0.96)*E72+INV!E73</f>
        <v>4621075.0989806093</v>
      </c>
      <c r="F73" s="13">
        <f>(0.96)*F72+INV!F73</f>
        <v>8880361.8523621932</v>
      </c>
      <c r="G73" s="13">
        <f>(0.96)*G72+INV!G73</f>
        <v>6921071.3937213067</v>
      </c>
      <c r="H73" s="13">
        <f>(0.96)*H72+INV!H73</f>
        <v>6647390.0030028811</v>
      </c>
      <c r="I73" s="13">
        <f>(0.96)*I72+INV!I73</f>
        <v>2732982286.107224</v>
      </c>
      <c r="J73" s="13">
        <f>(0.96)*J72+INV!J73</f>
        <v>92934911.35610801</v>
      </c>
      <c r="K73" s="13">
        <f>(0.96)*K72+INV!K73</f>
        <v>6544988.6384315901</v>
      </c>
      <c r="L73" s="13">
        <f>(0.96)*L72+INV!L73</f>
        <v>68607238.277339667</v>
      </c>
    </row>
    <row r="74" spans="1:12" x14ac:dyDescent="0.25">
      <c r="A74" s="2">
        <v>44562</v>
      </c>
      <c r="B74" s="13">
        <f>(0.96)*B73+INV!B74</f>
        <v>8130630.7288437132</v>
      </c>
      <c r="C74" s="13">
        <f>(0.96)*C73+INV!C74</f>
        <v>8699531.3791713566</v>
      </c>
      <c r="D74" s="13">
        <f>(0.96)*D73+INV!D74</f>
        <v>11489909.669875741</v>
      </c>
      <c r="E74" s="13">
        <f>(0.96)*E73+INV!E74</f>
        <v>4688727.0566963451</v>
      </c>
      <c r="F74" s="13">
        <f>(0.96)*F73+INV!F74</f>
        <v>9041382.103967106</v>
      </c>
      <c r="G74" s="13">
        <f>(0.96)*G73+INV!G74</f>
        <v>7065130.537972454</v>
      </c>
      <c r="H74" s="13">
        <f>(0.96)*H73+INV!H74</f>
        <v>6750915.3810047759</v>
      </c>
      <c r="I74" s="13">
        <f>(0.96)*I73+INV!I74</f>
        <v>2758062594.6629348</v>
      </c>
      <c r="J74" s="13">
        <f>(0.96)*J73+INV!J74</f>
        <v>94456583.526863679</v>
      </c>
      <c r="K74" s="13">
        <f>(0.96)*K73+INV!K74</f>
        <v>6824955.5392580256</v>
      </c>
      <c r="L74" s="13">
        <f>(0.96)*L73+INV!L74</f>
        <v>70610718.74624607</v>
      </c>
    </row>
    <row r="75" spans="1:12" x14ac:dyDescent="0.25">
      <c r="A75" s="2">
        <v>44927</v>
      </c>
      <c r="B75" s="13">
        <f>(0.96)*B74+INV!B75</f>
        <v>8375252.4996899646</v>
      </c>
      <c r="C75" s="13">
        <f>(0.96)*C74+INV!C75</f>
        <v>8849899.2177545018</v>
      </c>
      <c r="D75" s="13">
        <f>(0.96)*D74+INV!D75</f>
        <v>11638255.14685557</v>
      </c>
      <c r="E75" s="13">
        <f>(0.96)*E74+INV!E75</f>
        <v>4759067.6202335004</v>
      </c>
      <c r="F75" s="13">
        <f>(0.96)*F74+INV!F75</f>
        <v>9197973.2122960817</v>
      </c>
      <c r="G75" s="13">
        <f>(0.96)*G74+INV!G75</f>
        <v>7212632.3164535556</v>
      </c>
      <c r="H75" s="13">
        <f>(0.96)*H74+INV!H75</f>
        <v>6881626.6969844047</v>
      </c>
      <c r="I75" s="13">
        <f>(0.96)*I74+INV!I75</f>
        <v>2784619690.8764172</v>
      </c>
      <c r="J75" s="13">
        <f>(0.96)*J74+INV!J75</f>
        <v>96857952.685789123</v>
      </c>
      <c r="K75" s="13">
        <f>(0.96)*K74+INV!K75</f>
        <v>7139013.2343556741</v>
      </c>
      <c r="L75" s="13">
        <f>(0.96)*L74+INV!L75</f>
        <v>72687196.996396229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E586-D771-4D24-9341-E71E8D2DAA61}">
  <dimension ref="A1:L75"/>
  <sheetViews>
    <sheetView workbookViewId="0">
      <selection activeCell="L24" sqref="L24"/>
    </sheetView>
  </sheetViews>
  <sheetFormatPr defaultRowHeight="12.75" x14ac:dyDescent="0.2"/>
  <cols>
    <col min="1" max="1" width="12.7109375" style="1" customWidth="1"/>
    <col min="2" max="2" width="12.140625" style="1" bestFit="1" customWidth="1"/>
    <col min="3" max="3" width="19.7109375" style="1" customWidth="1"/>
    <col min="4" max="6" width="18.7109375" style="1" customWidth="1"/>
    <col min="7" max="7" width="10.7109375" style="1" customWidth="1"/>
    <col min="8" max="8" width="18.7109375" style="1" customWidth="1"/>
    <col min="9" max="9" width="13.7109375" style="1" customWidth="1"/>
    <col min="10" max="10" width="15.7109375" style="1" customWidth="1"/>
    <col min="11" max="11" width="18.7109375" style="1" customWidth="1"/>
    <col min="12" max="12" width="16.7109375" style="1" customWidth="1"/>
    <col min="13" max="256" width="8.7109375" style="1"/>
    <col min="257" max="257" width="12.7109375" style="1" customWidth="1"/>
    <col min="258" max="258" width="10.7109375" style="1" customWidth="1"/>
    <col min="259" max="259" width="19.7109375" style="1" customWidth="1"/>
    <col min="260" max="262" width="18.7109375" style="1" customWidth="1"/>
    <col min="263" max="263" width="10.7109375" style="1" customWidth="1"/>
    <col min="264" max="264" width="18.7109375" style="1" customWidth="1"/>
    <col min="265" max="265" width="13.7109375" style="1" customWidth="1"/>
    <col min="266" max="266" width="15.7109375" style="1" customWidth="1"/>
    <col min="267" max="267" width="18.7109375" style="1" customWidth="1"/>
    <col min="268" max="268" width="16.7109375" style="1" customWidth="1"/>
    <col min="269" max="512" width="8.7109375" style="1"/>
    <col min="513" max="513" width="12.7109375" style="1" customWidth="1"/>
    <col min="514" max="514" width="10.7109375" style="1" customWidth="1"/>
    <col min="515" max="515" width="19.7109375" style="1" customWidth="1"/>
    <col min="516" max="518" width="18.7109375" style="1" customWidth="1"/>
    <col min="519" max="519" width="10.7109375" style="1" customWidth="1"/>
    <col min="520" max="520" width="18.7109375" style="1" customWidth="1"/>
    <col min="521" max="521" width="13.7109375" style="1" customWidth="1"/>
    <col min="522" max="522" width="15.7109375" style="1" customWidth="1"/>
    <col min="523" max="523" width="18.7109375" style="1" customWidth="1"/>
    <col min="524" max="524" width="16.7109375" style="1" customWidth="1"/>
    <col min="525" max="768" width="8.7109375" style="1"/>
    <col min="769" max="769" width="12.7109375" style="1" customWidth="1"/>
    <col min="770" max="770" width="10.7109375" style="1" customWidth="1"/>
    <col min="771" max="771" width="19.7109375" style="1" customWidth="1"/>
    <col min="772" max="774" width="18.7109375" style="1" customWidth="1"/>
    <col min="775" max="775" width="10.7109375" style="1" customWidth="1"/>
    <col min="776" max="776" width="18.7109375" style="1" customWidth="1"/>
    <col min="777" max="777" width="13.7109375" style="1" customWidth="1"/>
    <col min="778" max="778" width="15.7109375" style="1" customWidth="1"/>
    <col min="779" max="779" width="18.7109375" style="1" customWidth="1"/>
    <col min="780" max="780" width="16.7109375" style="1" customWidth="1"/>
    <col min="781" max="1024" width="8.7109375" style="1"/>
    <col min="1025" max="1025" width="12.7109375" style="1" customWidth="1"/>
    <col min="1026" max="1026" width="10.7109375" style="1" customWidth="1"/>
    <col min="1027" max="1027" width="19.7109375" style="1" customWidth="1"/>
    <col min="1028" max="1030" width="18.7109375" style="1" customWidth="1"/>
    <col min="1031" max="1031" width="10.7109375" style="1" customWidth="1"/>
    <col min="1032" max="1032" width="18.7109375" style="1" customWidth="1"/>
    <col min="1033" max="1033" width="13.7109375" style="1" customWidth="1"/>
    <col min="1034" max="1034" width="15.7109375" style="1" customWidth="1"/>
    <col min="1035" max="1035" width="18.7109375" style="1" customWidth="1"/>
    <col min="1036" max="1036" width="16.7109375" style="1" customWidth="1"/>
    <col min="1037" max="1280" width="8.7109375" style="1"/>
    <col min="1281" max="1281" width="12.7109375" style="1" customWidth="1"/>
    <col min="1282" max="1282" width="10.7109375" style="1" customWidth="1"/>
    <col min="1283" max="1283" width="19.7109375" style="1" customWidth="1"/>
    <col min="1284" max="1286" width="18.7109375" style="1" customWidth="1"/>
    <col min="1287" max="1287" width="10.7109375" style="1" customWidth="1"/>
    <col min="1288" max="1288" width="18.7109375" style="1" customWidth="1"/>
    <col min="1289" max="1289" width="13.7109375" style="1" customWidth="1"/>
    <col min="1290" max="1290" width="15.7109375" style="1" customWidth="1"/>
    <col min="1291" max="1291" width="18.7109375" style="1" customWidth="1"/>
    <col min="1292" max="1292" width="16.7109375" style="1" customWidth="1"/>
    <col min="1293" max="1536" width="8.7109375" style="1"/>
    <col min="1537" max="1537" width="12.7109375" style="1" customWidth="1"/>
    <col min="1538" max="1538" width="10.7109375" style="1" customWidth="1"/>
    <col min="1539" max="1539" width="19.7109375" style="1" customWidth="1"/>
    <col min="1540" max="1542" width="18.7109375" style="1" customWidth="1"/>
    <col min="1543" max="1543" width="10.7109375" style="1" customWidth="1"/>
    <col min="1544" max="1544" width="18.7109375" style="1" customWidth="1"/>
    <col min="1545" max="1545" width="13.7109375" style="1" customWidth="1"/>
    <col min="1546" max="1546" width="15.7109375" style="1" customWidth="1"/>
    <col min="1547" max="1547" width="18.7109375" style="1" customWidth="1"/>
    <col min="1548" max="1548" width="16.7109375" style="1" customWidth="1"/>
    <col min="1549" max="1792" width="8.7109375" style="1"/>
    <col min="1793" max="1793" width="12.7109375" style="1" customWidth="1"/>
    <col min="1794" max="1794" width="10.7109375" style="1" customWidth="1"/>
    <col min="1795" max="1795" width="19.7109375" style="1" customWidth="1"/>
    <col min="1796" max="1798" width="18.7109375" style="1" customWidth="1"/>
    <col min="1799" max="1799" width="10.7109375" style="1" customWidth="1"/>
    <col min="1800" max="1800" width="18.7109375" style="1" customWidth="1"/>
    <col min="1801" max="1801" width="13.7109375" style="1" customWidth="1"/>
    <col min="1802" max="1802" width="15.7109375" style="1" customWidth="1"/>
    <col min="1803" max="1803" width="18.7109375" style="1" customWidth="1"/>
    <col min="1804" max="1804" width="16.7109375" style="1" customWidth="1"/>
    <col min="1805" max="2048" width="8.7109375" style="1"/>
    <col min="2049" max="2049" width="12.7109375" style="1" customWidth="1"/>
    <col min="2050" max="2050" width="10.7109375" style="1" customWidth="1"/>
    <col min="2051" max="2051" width="19.7109375" style="1" customWidth="1"/>
    <col min="2052" max="2054" width="18.7109375" style="1" customWidth="1"/>
    <col min="2055" max="2055" width="10.7109375" style="1" customWidth="1"/>
    <col min="2056" max="2056" width="18.7109375" style="1" customWidth="1"/>
    <col min="2057" max="2057" width="13.7109375" style="1" customWidth="1"/>
    <col min="2058" max="2058" width="15.7109375" style="1" customWidth="1"/>
    <col min="2059" max="2059" width="18.7109375" style="1" customWidth="1"/>
    <col min="2060" max="2060" width="16.7109375" style="1" customWidth="1"/>
    <col min="2061" max="2304" width="8.7109375" style="1"/>
    <col min="2305" max="2305" width="12.7109375" style="1" customWidth="1"/>
    <col min="2306" max="2306" width="10.7109375" style="1" customWidth="1"/>
    <col min="2307" max="2307" width="19.7109375" style="1" customWidth="1"/>
    <col min="2308" max="2310" width="18.7109375" style="1" customWidth="1"/>
    <col min="2311" max="2311" width="10.7109375" style="1" customWidth="1"/>
    <col min="2312" max="2312" width="18.7109375" style="1" customWidth="1"/>
    <col min="2313" max="2313" width="13.7109375" style="1" customWidth="1"/>
    <col min="2314" max="2314" width="15.7109375" style="1" customWidth="1"/>
    <col min="2315" max="2315" width="18.7109375" style="1" customWidth="1"/>
    <col min="2316" max="2316" width="16.7109375" style="1" customWidth="1"/>
    <col min="2317" max="2560" width="8.7109375" style="1"/>
    <col min="2561" max="2561" width="12.7109375" style="1" customWidth="1"/>
    <col min="2562" max="2562" width="10.7109375" style="1" customWidth="1"/>
    <col min="2563" max="2563" width="19.7109375" style="1" customWidth="1"/>
    <col min="2564" max="2566" width="18.7109375" style="1" customWidth="1"/>
    <col min="2567" max="2567" width="10.7109375" style="1" customWidth="1"/>
    <col min="2568" max="2568" width="18.7109375" style="1" customWidth="1"/>
    <col min="2569" max="2569" width="13.7109375" style="1" customWidth="1"/>
    <col min="2570" max="2570" width="15.7109375" style="1" customWidth="1"/>
    <col min="2571" max="2571" width="18.7109375" style="1" customWidth="1"/>
    <col min="2572" max="2572" width="16.7109375" style="1" customWidth="1"/>
    <col min="2573" max="2816" width="8.7109375" style="1"/>
    <col min="2817" max="2817" width="12.7109375" style="1" customWidth="1"/>
    <col min="2818" max="2818" width="10.7109375" style="1" customWidth="1"/>
    <col min="2819" max="2819" width="19.7109375" style="1" customWidth="1"/>
    <col min="2820" max="2822" width="18.7109375" style="1" customWidth="1"/>
    <col min="2823" max="2823" width="10.7109375" style="1" customWidth="1"/>
    <col min="2824" max="2824" width="18.7109375" style="1" customWidth="1"/>
    <col min="2825" max="2825" width="13.7109375" style="1" customWidth="1"/>
    <col min="2826" max="2826" width="15.7109375" style="1" customWidth="1"/>
    <col min="2827" max="2827" width="18.7109375" style="1" customWidth="1"/>
    <col min="2828" max="2828" width="16.7109375" style="1" customWidth="1"/>
    <col min="2829" max="3072" width="8.7109375" style="1"/>
    <col min="3073" max="3073" width="12.7109375" style="1" customWidth="1"/>
    <col min="3074" max="3074" width="10.7109375" style="1" customWidth="1"/>
    <col min="3075" max="3075" width="19.7109375" style="1" customWidth="1"/>
    <col min="3076" max="3078" width="18.7109375" style="1" customWidth="1"/>
    <col min="3079" max="3079" width="10.7109375" style="1" customWidth="1"/>
    <col min="3080" max="3080" width="18.7109375" style="1" customWidth="1"/>
    <col min="3081" max="3081" width="13.7109375" style="1" customWidth="1"/>
    <col min="3082" max="3082" width="15.7109375" style="1" customWidth="1"/>
    <col min="3083" max="3083" width="18.7109375" style="1" customWidth="1"/>
    <col min="3084" max="3084" width="16.7109375" style="1" customWidth="1"/>
    <col min="3085" max="3328" width="8.7109375" style="1"/>
    <col min="3329" max="3329" width="12.7109375" style="1" customWidth="1"/>
    <col min="3330" max="3330" width="10.7109375" style="1" customWidth="1"/>
    <col min="3331" max="3331" width="19.7109375" style="1" customWidth="1"/>
    <col min="3332" max="3334" width="18.7109375" style="1" customWidth="1"/>
    <col min="3335" max="3335" width="10.7109375" style="1" customWidth="1"/>
    <col min="3336" max="3336" width="18.7109375" style="1" customWidth="1"/>
    <col min="3337" max="3337" width="13.7109375" style="1" customWidth="1"/>
    <col min="3338" max="3338" width="15.7109375" style="1" customWidth="1"/>
    <col min="3339" max="3339" width="18.7109375" style="1" customWidth="1"/>
    <col min="3340" max="3340" width="16.7109375" style="1" customWidth="1"/>
    <col min="3341" max="3584" width="8.7109375" style="1"/>
    <col min="3585" max="3585" width="12.7109375" style="1" customWidth="1"/>
    <col min="3586" max="3586" width="10.7109375" style="1" customWidth="1"/>
    <col min="3587" max="3587" width="19.7109375" style="1" customWidth="1"/>
    <col min="3588" max="3590" width="18.7109375" style="1" customWidth="1"/>
    <col min="3591" max="3591" width="10.7109375" style="1" customWidth="1"/>
    <col min="3592" max="3592" width="18.7109375" style="1" customWidth="1"/>
    <col min="3593" max="3593" width="13.7109375" style="1" customWidth="1"/>
    <col min="3594" max="3594" width="15.7109375" style="1" customWidth="1"/>
    <col min="3595" max="3595" width="18.7109375" style="1" customWidth="1"/>
    <col min="3596" max="3596" width="16.7109375" style="1" customWidth="1"/>
    <col min="3597" max="3840" width="8.7109375" style="1"/>
    <col min="3841" max="3841" width="12.7109375" style="1" customWidth="1"/>
    <col min="3842" max="3842" width="10.7109375" style="1" customWidth="1"/>
    <col min="3843" max="3843" width="19.7109375" style="1" customWidth="1"/>
    <col min="3844" max="3846" width="18.7109375" style="1" customWidth="1"/>
    <col min="3847" max="3847" width="10.7109375" style="1" customWidth="1"/>
    <col min="3848" max="3848" width="18.7109375" style="1" customWidth="1"/>
    <col min="3849" max="3849" width="13.7109375" style="1" customWidth="1"/>
    <col min="3850" max="3850" width="15.7109375" style="1" customWidth="1"/>
    <col min="3851" max="3851" width="18.7109375" style="1" customWidth="1"/>
    <col min="3852" max="3852" width="16.7109375" style="1" customWidth="1"/>
    <col min="3853" max="4096" width="8.7109375" style="1"/>
    <col min="4097" max="4097" width="12.7109375" style="1" customWidth="1"/>
    <col min="4098" max="4098" width="10.7109375" style="1" customWidth="1"/>
    <col min="4099" max="4099" width="19.7109375" style="1" customWidth="1"/>
    <col min="4100" max="4102" width="18.7109375" style="1" customWidth="1"/>
    <col min="4103" max="4103" width="10.7109375" style="1" customWidth="1"/>
    <col min="4104" max="4104" width="18.7109375" style="1" customWidth="1"/>
    <col min="4105" max="4105" width="13.7109375" style="1" customWidth="1"/>
    <col min="4106" max="4106" width="15.7109375" style="1" customWidth="1"/>
    <col min="4107" max="4107" width="18.7109375" style="1" customWidth="1"/>
    <col min="4108" max="4108" width="16.7109375" style="1" customWidth="1"/>
    <col min="4109" max="4352" width="8.7109375" style="1"/>
    <col min="4353" max="4353" width="12.7109375" style="1" customWidth="1"/>
    <col min="4354" max="4354" width="10.7109375" style="1" customWidth="1"/>
    <col min="4355" max="4355" width="19.7109375" style="1" customWidth="1"/>
    <col min="4356" max="4358" width="18.7109375" style="1" customWidth="1"/>
    <col min="4359" max="4359" width="10.7109375" style="1" customWidth="1"/>
    <col min="4360" max="4360" width="18.7109375" style="1" customWidth="1"/>
    <col min="4361" max="4361" width="13.7109375" style="1" customWidth="1"/>
    <col min="4362" max="4362" width="15.7109375" style="1" customWidth="1"/>
    <col min="4363" max="4363" width="18.7109375" style="1" customWidth="1"/>
    <col min="4364" max="4364" width="16.7109375" style="1" customWidth="1"/>
    <col min="4365" max="4608" width="8.7109375" style="1"/>
    <col min="4609" max="4609" width="12.7109375" style="1" customWidth="1"/>
    <col min="4610" max="4610" width="10.7109375" style="1" customWidth="1"/>
    <col min="4611" max="4611" width="19.7109375" style="1" customWidth="1"/>
    <col min="4612" max="4614" width="18.7109375" style="1" customWidth="1"/>
    <col min="4615" max="4615" width="10.7109375" style="1" customWidth="1"/>
    <col min="4616" max="4616" width="18.7109375" style="1" customWidth="1"/>
    <col min="4617" max="4617" width="13.7109375" style="1" customWidth="1"/>
    <col min="4618" max="4618" width="15.7109375" style="1" customWidth="1"/>
    <col min="4619" max="4619" width="18.7109375" style="1" customWidth="1"/>
    <col min="4620" max="4620" width="16.7109375" style="1" customWidth="1"/>
    <col min="4621" max="4864" width="8.7109375" style="1"/>
    <col min="4865" max="4865" width="12.7109375" style="1" customWidth="1"/>
    <col min="4866" max="4866" width="10.7109375" style="1" customWidth="1"/>
    <col min="4867" max="4867" width="19.7109375" style="1" customWidth="1"/>
    <col min="4868" max="4870" width="18.7109375" style="1" customWidth="1"/>
    <col min="4871" max="4871" width="10.7109375" style="1" customWidth="1"/>
    <col min="4872" max="4872" width="18.7109375" style="1" customWidth="1"/>
    <col min="4873" max="4873" width="13.7109375" style="1" customWidth="1"/>
    <col min="4874" max="4874" width="15.7109375" style="1" customWidth="1"/>
    <col min="4875" max="4875" width="18.7109375" style="1" customWidth="1"/>
    <col min="4876" max="4876" width="16.7109375" style="1" customWidth="1"/>
    <col min="4877" max="5120" width="8.7109375" style="1"/>
    <col min="5121" max="5121" width="12.7109375" style="1" customWidth="1"/>
    <col min="5122" max="5122" width="10.7109375" style="1" customWidth="1"/>
    <col min="5123" max="5123" width="19.7109375" style="1" customWidth="1"/>
    <col min="5124" max="5126" width="18.7109375" style="1" customWidth="1"/>
    <col min="5127" max="5127" width="10.7109375" style="1" customWidth="1"/>
    <col min="5128" max="5128" width="18.7109375" style="1" customWidth="1"/>
    <col min="5129" max="5129" width="13.7109375" style="1" customWidth="1"/>
    <col min="5130" max="5130" width="15.7109375" style="1" customWidth="1"/>
    <col min="5131" max="5131" width="18.7109375" style="1" customWidth="1"/>
    <col min="5132" max="5132" width="16.7109375" style="1" customWidth="1"/>
    <col min="5133" max="5376" width="8.7109375" style="1"/>
    <col min="5377" max="5377" width="12.7109375" style="1" customWidth="1"/>
    <col min="5378" max="5378" width="10.7109375" style="1" customWidth="1"/>
    <col min="5379" max="5379" width="19.7109375" style="1" customWidth="1"/>
    <col min="5380" max="5382" width="18.7109375" style="1" customWidth="1"/>
    <col min="5383" max="5383" width="10.7109375" style="1" customWidth="1"/>
    <col min="5384" max="5384" width="18.7109375" style="1" customWidth="1"/>
    <col min="5385" max="5385" width="13.7109375" style="1" customWidth="1"/>
    <col min="5386" max="5386" width="15.7109375" style="1" customWidth="1"/>
    <col min="5387" max="5387" width="18.7109375" style="1" customWidth="1"/>
    <col min="5388" max="5388" width="16.7109375" style="1" customWidth="1"/>
    <col min="5389" max="5632" width="8.7109375" style="1"/>
    <col min="5633" max="5633" width="12.7109375" style="1" customWidth="1"/>
    <col min="5634" max="5634" width="10.7109375" style="1" customWidth="1"/>
    <col min="5635" max="5635" width="19.7109375" style="1" customWidth="1"/>
    <col min="5636" max="5638" width="18.7109375" style="1" customWidth="1"/>
    <col min="5639" max="5639" width="10.7109375" style="1" customWidth="1"/>
    <col min="5640" max="5640" width="18.7109375" style="1" customWidth="1"/>
    <col min="5641" max="5641" width="13.7109375" style="1" customWidth="1"/>
    <col min="5642" max="5642" width="15.7109375" style="1" customWidth="1"/>
    <col min="5643" max="5643" width="18.7109375" style="1" customWidth="1"/>
    <col min="5644" max="5644" width="16.7109375" style="1" customWidth="1"/>
    <col min="5645" max="5888" width="8.7109375" style="1"/>
    <col min="5889" max="5889" width="12.7109375" style="1" customWidth="1"/>
    <col min="5890" max="5890" width="10.7109375" style="1" customWidth="1"/>
    <col min="5891" max="5891" width="19.7109375" style="1" customWidth="1"/>
    <col min="5892" max="5894" width="18.7109375" style="1" customWidth="1"/>
    <col min="5895" max="5895" width="10.7109375" style="1" customWidth="1"/>
    <col min="5896" max="5896" width="18.7109375" style="1" customWidth="1"/>
    <col min="5897" max="5897" width="13.7109375" style="1" customWidth="1"/>
    <col min="5898" max="5898" width="15.7109375" style="1" customWidth="1"/>
    <col min="5899" max="5899" width="18.7109375" style="1" customWidth="1"/>
    <col min="5900" max="5900" width="16.7109375" style="1" customWidth="1"/>
    <col min="5901" max="6144" width="8.7109375" style="1"/>
    <col min="6145" max="6145" width="12.7109375" style="1" customWidth="1"/>
    <col min="6146" max="6146" width="10.7109375" style="1" customWidth="1"/>
    <col min="6147" max="6147" width="19.7109375" style="1" customWidth="1"/>
    <col min="6148" max="6150" width="18.7109375" style="1" customWidth="1"/>
    <col min="6151" max="6151" width="10.7109375" style="1" customWidth="1"/>
    <col min="6152" max="6152" width="18.7109375" style="1" customWidth="1"/>
    <col min="6153" max="6153" width="13.7109375" style="1" customWidth="1"/>
    <col min="6154" max="6154" width="15.7109375" style="1" customWidth="1"/>
    <col min="6155" max="6155" width="18.7109375" style="1" customWidth="1"/>
    <col min="6156" max="6156" width="16.7109375" style="1" customWidth="1"/>
    <col min="6157" max="6400" width="8.7109375" style="1"/>
    <col min="6401" max="6401" width="12.7109375" style="1" customWidth="1"/>
    <col min="6402" max="6402" width="10.7109375" style="1" customWidth="1"/>
    <col min="6403" max="6403" width="19.7109375" style="1" customWidth="1"/>
    <col min="6404" max="6406" width="18.7109375" style="1" customWidth="1"/>
    <col min="6407" max="6407" width="10.7109375" style="1" customWidth="1"/>
    <col min="6408" max="6408" width="18.7109375" style="1" customWidth="1"/>
    <col min="6409" max="6409" width="13.7109375" style="1" customWidth="1"/>
    <col min="6410" max="6410" width="15.7109375" style="1" customWidth="1"/>
    <col min="6411" max="6411" width="18.7109375" style="1" customWidth="1"/>
    <col min="6412" max="6412" width="16.7109375" style="1" customWidth="1"/>
    <col min="6413" max="6656" width="8.7109375" style="1"/>
    <col min="6657" max="6657" width="12.7109375" style="1" customWidth="1"/>
    <col min="6658" max="6658" width="10.7109375" style="1" customWidth="1"/>
    <col min="6659" max="6659" width="19.7109375" style="1" customWidth="1"/>
    <col min="6660" max="6662" width="18.7109375" style="1" customWidth="1"/>
    <col min="6663" max="6663" width="10.7109375" style="1" customWidth="1"/>
    <col min="6664" max="6664" width="18.7109375" style="1" customWidth="1"/>
    <col min="6665" max="6665" width="13.7109375" style="1" customWidth="1"/>
    <col min="6666" max="6666" width="15.7109375" style="1" customWidth="1"/>
    <col min="6667" max="6667" width="18.7109375" style="1" customWidth="1"/>
    <col min="6668" max="6668" width="16.7109375" style="1" customWidth="1"/>
    <col min="6669" max="6912" width="8.7109375" style="1"/>
    <col min="6913" max="6913" width="12.7109375" style="1" customWidth="1"/>
    <col min="6914" max="6914" width="10.7109375" style="1" customWidth="1"/>
    <col min="6915" max="6915" width="19.7109375" style="1" customWidth="1"/>
    <col min="6916" max="6918" width="18.7109375" style="1" customWidth="1"/>
    <col min="6919" max="6919" width="10.7109375" style="1" customWidth="1"/>
    <col min="6920" max="6920" width="18.7109375" style="1" customWidth="1"/>
    <col min="6921" max="6921" width="13.7109375" style="1" customWidth="1"/>
    <col min="6922" max="6922" width="15.7109375" style="1" customWidth="1"/>
    <col min="6923" max="6923" width="18.7109375" style="1" customWidth="1"/>
    <col min="6924" max="6924" width="16.7109375" style="1" customWidth="1"/>
    <col min="6925" max="7168" width="8.7109375" style="1"/>
    <col min="7169" max="7169" width="12.7109375" style="1" customWidth="1"/>
    <col min="7170" max="7170" width="10.7109375" style="1" customWidth="1"/>
    <col min="7171" max="7171" width="19.7109375" style="1" customWidth="1"/>
    <col min="7172" max="7174" width="18.7109375" style="1" customWidth="1"/>
    <col min="7175" max="7175" width="10.7109375" style="1" customWidth="1"/>
    <col min="7176" max="7176" width="18.7109375" style="1" customWidth="1"/>
    <col min="7177" max="7177" width="13.7109375" style="1" customWidth="1"/>
    <col min="7178" max="7178" width="15.7109375" style="1" customWidth="1"/>
    <col min="7179" max="7179" width="18.7109375" style="1" customWidth="1"/>
    <col min="7180" max="7180" width="16.7109375" style="1" customWidth="1"/>
    <col min="7181" max="7424" width="8.7109375" style="1"/>
    <col min="7425" max="7425" width="12.7109375" style="1" customWidth="1"/>
    <col min="7426" max="7426" width="10.7109375" style="1" customWidth="1"/>
    <col min="7427" max="7427" width="19.7109375" style="1" customWidth="1"/>
    <col min="7428" max="7430" width="18.7109375" style="1" customWidth="1"/>
    <col min="7431" max="7431" width="10.7109375" style="1" customWidth="1"/>
    <col min="7432" max="7432" width="18.7109375" style="1" customWidth="1"/>
    <col min="7433" max="7433" width="13.7109375" style="1" customWidth="1"/>
    <col min="7434" max="7434" width="15.7109375" style="1" customWidth="1"/>
    <col min="7435" max="7435" width="18.7109375" style="1" customWidth="1"/>
    <col min="7436" max="7436" width="16.7109375" style="1" customWidth="1"/>
    <col min="7437" max="7680" width="8.7109375" style="1"/>
    <col min="7681" max="7681" width="12.7109375" style="1" customWidth="1"/>
    <col min="7682" max="7682" width="10.7109375" style="1" customWidth="1"/>
    <col min="7683" max="7683" width="19.7109375" style="1" customWidth="1"/>
    <col min="7684" max="7686" width="18.7109375" style="1" customWidth="1"/>
    <col min="7687" max="7687" width="10.7109375" style="1" customWidth="1"/>
    <col min="7688" max="7688" width="18.7109375" style="1" customWidth="1"/>
    <col min="7689" max="7689" width="13.7109375" style="1" customWidth="1"/>
    <col min="7690" max="7690" width="15.7109375" style="1" customWidth="1"/>
    <col min="7691" max="7691" width="18.7109375" style="1" customWidth="1"/>
    <col min="7692" max="7692" width="16.7109375" style="1" customWidth="1"/>
    <col min="7693" max="7936" width="8.7109375" style="1"/>
    <col min="7937" max="7937" width="12.7109375" style="1" customWidth="1"/>
    <col min="7938" max="7938" width="10.7109375" style="1" customWidth="1"/>
    <col min="7939" max="7939" width="19.7109375" style="1" customWidth="1"/>
    <col min="7940" max="7942" width="18.7109375" style="1" customWidth="1"/>
    <col min="7943" max="7943" width="10.7109375" style="1" customWidth="1"/>
    <col min="7944" max="7944" width="18.7109375" style="1" customWidth="1"/>
    <col min="7945" max="7945" width="13.7109375" style="1" customWidth="1"/>
    <col min="7946" max="7946" width="15.7109375" style="1" customWidth="1"/>
    <col min="7947" max="7947" width="18.7109375" style="1" customWidth="1"/>
    <col min="7948" max="7948" width="16.7109375" style="1" customWidth="1"/>
    <col min="7949" max="8192" width="8.7109375" style="1"/>
    <col min="8193" max="8193" width="12.7109375" style="1" customWidth="1"/>
    <col min="8194" max="8194" width="10.7109375" style="1" customWidth="1"/>
    <col min="8195" max="8195" width="19.7109375" style="1" customWidth="1"/>
    <col min="8196" max="8198" width="18.7109375" style="1" customWidth="1"/>
    <col min="8199" max="8199" width="10.7109375" style="1" customWidth="1"/>
    <col min="8200" max="8200" width="18.7109375" style="1" customWidth="1"/>
    <col min="8201" max="8201" width="13.7109375" style="1" customWidth="1"/>
    <col min="8202" max="8202" width="15.7109375" style="1" customWidth="1"/>
    <col min="8203" max="8203" width="18.7109375" style="1" customWidth="1"/>
    <col min="8204" max="8204" width="16.7109375" style="1" customWidth="1"/>
    <col min="8205" max="8448" width="8.7109375" style="1"/>
    <col min="8449" max="8449" width="12.7109375" style="1" customWidth="1"/>
    <col min="8450" max="8450" width="10.7109375" style="1" customWidth="1"/>
    <col min="8451" max="8451" width="19.7109375" style="1" customWidth="1"/>
    <col min="8452" max="8454" width="18.7109375" style="1" customWidth="1"/>
    <col min="8455" max="8455" width="10.7109375" style="1" customWidth="1"/>
    <col min="8456" max="8456" width="18.7109375" style="1" customWidth="1"/>
    <col min="8457" max="8457" width="13.7109375" style="1" customWidth="1"/>
    <col min="8458" max="8458" width="15.7109375" style="1" customWidth="1"/>
    <col min="8459" max="8459" width="18.7109375" style="1" customWidth="1"/>
    <col min="8460" max="8460" width="16.7109375" style="1" customWidth="1"/>
    <col min="8461" max="8704" width="8.7109375" style="1"/>
    <col min="8705" max="8705" width="12.7109375" style="1" customWidth="1"/>
    <col min="8706" max="8706" width="10.7109375" style="1" customWidth="1"/>
    <col min="8707" max="8707" width="19.7109375" style="1" customWidth="1"/>
    <col min="8708" max="8710" width="18.7109375" style="1" customWidth="1"/>
    <col min="8711" max="8711" width="10.7109375" style="1" customWidth="1"/>
    <col min="8712" max="8712" width="18.7109375" style="1" customWidth="1"/>
    <col min="8713" max="8713" width="13.7109375" style="1" customWidth="1"/>
    <col min="8714" max="8714" width="15.7109375" style="1" customWidth="1"/>
    <col min="8715" max="8715" width="18.7109375" style="1" customWidth="1"/>
    <col min="8716" max="8716" width="16.7109375" style="1" customWidth="1"/>
    <col min="8717" max="8960" width="8.7109375" style="1"/>
    <col min="8961" max="8961" width="12.7109375" style="1" customWidth="1"/>
    <col min="8962" max="8962" width="10.7109375" style="1" customWidth="1"/>
    <col min="8963" max="8963" width="19.7109375" style="1" customWidth="1"/>
    <col min="8964" max="8966" width="18.7109375" style="1" customWidth="1"/>
    <col min="8967" max="8967" width="10.7109375" style="1" customWidth="1"/>
    <col min="8968" max="8968" width="18.7109375" style="1" customWidth="1"/>
    <col min="8969" max="8969" width="13.7109375" style="1" customWidth="1"/>
    <col min="8970" max="8970" width="15.7109375" style="1" customWidth="1"/>
    <col min="8971" max="8971" width="18.7109375" style="1" customWidth="1"/>
    <col min="8972" max="8972" width="16.7109375" style="1" customWidth="1"/>
    <col min="8973" max="9216" width="8.7109375" style="1"/>
    <col min="9217" max="9217" width="12.7109375" style="1" customWidth="1"/>
    <col min="9218" max="9218" width="10.7109375" style="1" customWidth="1"/>
    <col min="9219" max="9219" width="19.7109375" style="1" customWidth="1"/>
    <col min="9220" max="9222" width="18.7109375" style="1" customWidth="1"/>
    <col min="9223" max="9223" width="10.7109375" style="1" customWidth="1"/>
    <col min="9224" max="9224" width="18.7109375" style="1" customWidth="1"/>
    <col min="9225" max="9225" width="13.7109375" style="1" customWidth="1"/>
    <col min="9226" max="9226" width="15.7109375" style="1" customWidth="1"/>
    <col min="9227" max="9227" width="18.7109375" style="1" customWidth="1"/>
    <col min="9228" max="9228" width="16.7109375" style="1" customWidth="1"/>
    <col min="9229" max="9472" width="8.7109375" style="1"/>
    <col min="9473" max="9473" width="12.7109375" style="1" customWidth="1"/>
    <col min="9474" max="9474" width="10.7109375" style="1" customWidth="1"/>
    <col min="9475" max="9475" width="19.7109375" style="1" customWidth="1"/>
    <col min="9476" max="9478" width="18.7109375" style="1" customWidth="1"/>
    <col min="9479" max="9479" width="10.7109375" style="1" customWidth="1"/>
    <col min="9480" max="9480" width="18.7109375" style="1" customWidth="1"/>
    <col min="9481" max="9481" width="13.7109375" style="1" customWidth="1"/>
    <col min="9482" max="9482" width="15.7109375" style="1" customWidth="1"/>
    <col min="9483" max="9483" width="18.7109375" style="1" customWidth="1"/>
    <col min="9484" max="9484" width="16.7109375" style="1" customWidth="1"/>
    <col min="9485" max="9728" width="8.7109375" style="1"/>
    <col min="9729" max="9729" width="12.7109375" style="1" customWidth="1"/>
    <col min="9730" max="9730" width="10.7109375" style="1" customWidth="1"/>
    <col min="9731" max="9731" width="19.7109375" style="1" customWidth="1"/>
    <col min="9732" max="9734" width="18.7109375" style="1" customWidth="1"/>
    <col min="9735" max="9735" width="10.7109375" style="1" customWidth="1"/>
    <col min="9736" max="9736" width="18.7109375" style="1" customWidth="1"/>
    <col min="9737" max="9737" width="13.7109375" style="1" customWidth="1"/>
    <col min="9738" max="9738" width="15.7109375" style="1" customWidth="1"/>
    <col min="9739" max="9739" width="18.7109375" style="1" customWidth="1"/>
    <col min="9740" max="9740" width="16.7109375" style="1" customWidth="1"/>
    <col min="9741" max="9984" width="8.7109375" style="1"/>
    <col min="9985" max="9985" width="12.7109375" style="1" customWidth="1"/>
    <col min="9986" max="9986" width="10.7109375" style="1" customWidth="1"/>
    <col min="9987" max="9987" width="19.7109375" style="1" customWidth="1"/>
    <col min="9988" max="9990" width="18.7109375" style="1" customWidth="1"/>
    <col min="9991" max="9991" width="10.7109375" style="1" customWidth="1"/>
    <col min="9992" max="9992" width="18.7109375" style="1" customWidth="1"/>
    <col min="9993" max="9993" width="13.7109375" style="1" customWidth="1"/>
    <col min="9994" max="9994" width="15.7109375" style="1" customWidth="1"/>
    <col min="9995" max="9995" width="18.7109375" style="1" customWidth="1"/>
    <col min="9996" max="9996" width="16.7109375" style="1" customWidth="1"/>
    <col min="9997" max="10240" width="8.7109375" style="1"/>
    <col min="10241" max="10241" width="12.7109375" style="1" customWidth="1"/>
    <col min="10242" max="10242" width="10.7109375" style="1" customWidth="1"/>
    <col min="10243" max="10243" width="19.7109375" style="1" customWidth="1"/>
    <col min="10244" max="10246" width="18.7109375" style="1" customWidth="1"/>
    <col min="10247" max="10247" width="10.7109375" style="1" customWidth="1"/>
    <col min="10248" max="10248" width="18.7109375" style="1" customWidth="1"/>
    <col min="10249" max="10249" width="13.7109375" style="1" customWidth="1"/>
    <col min="10250" max="10250" width="15.7109375" style="1" customWidth="1"/>
    <col min="10251" max="10251" width="18.7109375" style="1" customWidth="1"/>
    <col min="10252" max="10252" width="16.7109375" style="1" customWidth="1"/>
    <col min="10253" max="10496" width="8.7109375" style="1"/>
    <col min="10497" max="10497" width="12.7109375" style="1" customWidth="1"/>
    <col min="10498" max="10498" width="10.7109375" style="1" customWidth="1"/>
    <col min="10499" max="10499" width="19.7109375" style="1" customWidth="1"/>
    <col min="10500" max="10502" width="18.7109375" style="1" customWidth="1"/>
    <col min="10503" max="10503" width="10.7109375" style="1" customWidth="1"/>
    <col min="10504" max="10504" width="18.7109375" style="1" customWidth="1"/>
    <col min="10505" max="10505" width="13.7109375" style="1" customWidth="1"/>
    <col min="10506" max="10506" width="15.7109375" style="1" customWidth="1"/>
    <col min="10507" max="10507" width="18.7109375" style="1" customWidth="1"/>
    <col min="10508" max="10508" width="16.7109375" style="1" customWidth="1"/>
    <col min="10509" max="10752" width="8.7109375" style="1"/>
    <col min="10753" max="10753" width="12.7109375" style="1" customWidth="1"/>
    <col min="10754" max="10754" width="10.7109375" style="1" customWidth="1"/>
    <col min="10755" max="10755" width="19.7109375" style="1" customWidth="1"/>
    <col min="10756" max="10758" width="18.7109375" style="1" customWidth="1"/>
    <col min="10759" max="10759" width="10.7109375" style="1" customWidth="1"/>
    <col min="10760" max="10760" width="18.7109375" style="1" customWidth="1"/>
    <col min="10761" max="10761" width="13.7109375" style="1" customWidth="1"/>
    <col min="10762" max="10762" width="15.7109375" style="1" customWidth="1"/>
    <col min="10763" max="10763" width="18.7109375" style="1" customWidth="1"/>
    <col min="10764" max="10764" width="16.7109375" style="1" customWidth="1"/>
    <col min="10765" max="11008" width="8.7109375" style="1"/>
    <col min="11009" max="11009" width="12.7109375" style="1" customWidth="1"/>
    <col min="11010" max="11010" width="10.7109375" style="1" customWidth="1"/>
    <col min="11011" max="11011" width="19.7109375" style="1" customWidth="1"/>
    <col min="11012" max="11014" width="18.7109375" style="1" customWidth="1"/>
    <col min="11015" max="11015" width="10.7109375" style="1" customWidth="1"/>
    <col min="11016" max="11016" width="18.7109375" style="1" customWidth="1"/>
    <col min="11017" max="11017" width="13.7109375" style="1" customWidth="1"/>
    <col min="11018" max="11018" width="15.7109375" style="1" customWidth="1"/>
    <col min="11019" max="11019" width="18.7109375" style="1" customWidth="1"/>
    <col min="11020" max="11020" width="16.7109375" style="1" customWidth="1"/>
    <col min="11021" max="11264" width="8.7109375" style="1"/>
    <col min="11265" max="11265" width="12.7109375" style="1" customWidth="1"/>
    <col min="11266" max="11266" width="10.7109375" style="1" customWidth="1"/>
    <col min="11267" max="11267" width="19.7109375" style="1" customWidth="1"/>
    <col min="11268" max="11270" width="18.7109375" style="1" customWidth="1"/>
    <col min="11271" max="11271" width="10.7109375" style="1" customWidth="1"/>
    <col min="11272" max="11272" width="18.7109375" style="1" customWidth="1"/>
    <col min="11273" max="11273" width="13.7109375" style="1" customWidth="1"/>
    <col min="11274" max="11274" width="15.7109375" style="1" customWidth="1"/>
    <col min="11275" max="11275" width="18.7109375" style="1" customWidth="1"/>
    <col min="11276" max="11276" width="16.7109375" style="1" customWidth="1"/>
    <col min="11277" max="11520" width="8.7109375" style="1"/>
    <col min="11521" max="11521" width="12.7109375" style="1" customWidth="1"/>
    <col min="11522" max="11522" width="10.7109375" style="1" customWidth="1"/>
    <col min="11523" max="11523" width="19.7109375" style="1" customWidth="1"/>
    <col min="11524" max="11526" width="18.7109375" style="1" customWidth="1"/>
    <col min="11527" max="11527" width="10.7109375" style="1" customWidth="1"/>
    <col min="11528" max="11528" width="18.7109375" style="1" customWidth="1"/>
    <col min="11529" max="11529" width="13.7109375" style="1" customWidth="1"/>
    <col min="11530" max="11530" width="15.7109375" style="1" customWidth="1"/>
    <col min="11531" max="11531" width="18.7109375" style="1" customWidth="1"/>
    <col min="11532" max="11532" width="16.7109375" style="1" customWidth="1"/>
    <col min="11533" max="11776" width="8.7109375" style="1"/>
    <col min="11777" max="11777" width="12.7109375" style="1" customWidth="1"/>
    <col min="11778" max="11778" width="10.7109375" style="1" customWidth="1"/>
    <col min="11779" max="11779" width="19.7109375" style="1" customWidth="1"/>
    <col min="11780" max="11782" width="18.7109375" style="1" customWidth="1"/>
    <col min="11783" max="11783" width="10.7109375" style="1" customWidth="1"/>
    <col min="11784" max="11784" width="18.7109375" style="1" customWidth="1"/>
    <col min="11785" max="11785" width="13.7109375" style="1" customWidth="1"/>
    <col min="11786" max="11786" width="15.7109375" style="1" customWidth="1"/>
    <col min="11787" max="11787" width="18.7109375" style="1" customWidth="1"/>
    <col min="11788" max="11788" width="16.7109375" style="1" customWidth="1"/>
    <col min="11789" max="12032" width="8.7109375" style="1"/>
    <col min="12033" max="12033" width="12.7109375" style="1" customWidth="1"/>
    <col min="12034" max="12034" width="10.7109375" style="1" customWidth="1"/>
    <col min="12035" max="12035" width="19.7109375" style="1" customWidth="1"/>
    <col min="12036" max="12038" width="18.7109375" style="1" customWidth="1"/>
    <col min="12039" max="12039" width="10.7109375" style="1" customWidth="1"/>
    <col min="12040" max="12040" width="18.7109375" style="1" customWidth="1"/>
    <col min="12041" max="12041" width="13.7109375" style="1" customWidth="1"/>
    <col min="12042" max="12042" width="15.7109375" style="1" customWidth="1"/>
    <col min="12043" max="12043" width="18.7109375" style="1" customWidth="1"/>
    <col min="12044" max="12044" width="16.7109375" style="1" customWidth="1"/>
    <col min="12045" max="12288" width="8.7109375" style="1"/>
    <col min="12289" max="12289" width="12.7109375" style="1" customWidth="1"/>
    <col min="12290" max="12290" width="10.7109375" style="1" customWidth="1"/>
    <col min="12291" max="12291" width="19.7109375" style="1" customWidth="1"/>
    <col min="12292" max="12294" width="18.7109375" style="1" customWidth="1"/>
    <col min="12295" max="12295" width="10.7109375" style="1" customWidth="1"/>
    <col min="12296" max="12296" width="18.7109375" style="1" customWidth="1"/>
    <col min="12297" max="12297" width="13.7109375" style="1" customWidth="1"/>
    <col min="12298" max="12298" width="15.7109375" style="1" customWidth="1"/>
    <col min="12299" max="12299" width="18.7109375" style="1" customWidth="1"/>
    <col min="12300" max="12300" width="16.7109375" style="1" customWidth="1"/>
    <col min="12301" max="12544" width="8.7109375" style="1"/>
    <col min="12545" max="12545" width="12.7109375" style="1" customWidth="1"/>
    <col min="12546" max="12546" width="10.7109375" style="1" customWidth="1"/>
    <col min="12547" max="12547" width="19.7109375" style="1" customWidth="1"/>
    <col min="12548" max="12550" width="18.7109375" style="1" customWidth="1"/>
    <col min="12551" max="12551" width="10.7109375" style="1" customWidth="1"/>
    <col min="12552" max="12552" width="18.7109375" style="1" customWidth="1"/>
    <col min="12553" max="12553" width="13.7109375" style="1" customWidth="1"/>
    <col min="12554" max="12554" width="15.7109375" style="1" customWidth="1"/>
    <col min="12555" max="12555" width="18.7109375" style="1" customWidth="1"/>
    <col min="12556" max="12556" width="16.7109375" style="1" customWidth="1"/>
    <col min="12557" max="12800" width="8.7109375" style="1"/>
    <col min="12801" max="12801" width="12.7109375" style="1" customWidth="1"/>
    <col min="12802" max="12802" width="10.7109375" style="1" customWidth="1"/>
    <col min="12803" max="12803" width="19.7109375" style="1" customWidth="1"/>
    <col min="12804" max="12806" width="18.7109375" style="1" customWidth="1"/>
    <col min="12807" max="12807" width="10.7109375" style="1" customWidth="1"/>
    <col min="12808" max="12808" width="18.7109375" style="1" customWidth="1"/>
    <col min="12809" max="12809" width="13.7109375" style="1" customWidth="1"/>
    <col min="12810" max="12810" width="15.7109375" style="1" customWidth="1"/>
    <col min="12811" max="12811" width="18.7109375" style="1" customWidth="1"/>
    <col min="12812" max="12812" width="16.7109375" style="1" customWidth="1"/>
    <col min="12813" max="13056" width="8.7109375" style="1"/>
    <col min="13057" max="13057" width="12.7109375" style="1" customWidth="1"/>
    <col min="13058" max="13058" width="10.7109375" style="1" customWidth="1"/>
    <col min="13059" max="13059" width="19.7109375" style="1" customWidth="1"/>
    <col min="13060" max="13062" width="18.7109375" style="1" customWidth="1"/>
    <col min="13063" max="13063" width="10.7109375" style="1" customWidth="1"/>
    <col min="13064" max="13064" width="18.7109375" style="1" customWidth="1"/>
    <col min="13065" max="13065" width="13.7109375" style="1" customWidth="1"/>
    <col min="13066" max="13066" width="15.7109375" style="1" customWidth="1"/>
    <col min="13067" max="13067" width="18.7109375" style="1" customWidth="1"/>
    <col min="13068" max="13068" width="16.7109375" style="1" customWidth="1"/>
    <col min="13069" max="13312" width="8.7109375" style="1"/>
    <col min="13313" max="13313" width="12.7109375" style="1" customWidth="1"/>
    <col min="13314" max="13314" width="10.7109375" style="1" customWidth="1"/>
    <col min="13315" max="13315" width="19.7109375" style="1" customWidth="1"/>
    <col min="13316" max="13318" width="18.7109375" style="1" customWidth="1"/>
    <col min="13319" max="13319" width="10.7109375" style="1" customWidth="1"/>
    <col min="13320" max="13320" width="18.7109375" style="1" customWidth="1"/>
    <col min="13321" max="13321" width="13.7109375" style="1" customWidth="1"/>
    <col min="13322" max="13322" width="15.7109375" style="1" customWidth="1"/>
    <col min="13323" max="13323" width="18.7109375" style="1" customWidth="1"/>
    <col min="13324" max="13324" width="16.7109375" style="1" customWidth="1"/>
    <col min="13325" max="13568" width="8.7109375" style="1"/>
    <col min="13569" max="13569" width="12.7109375" style="1" customWidth="1"/>
    <col min="13570" max="13570" width="10.7109375" style="1" customWidth="1"/>
    <col min="13571" max="13571" width="19.7109375" style="1" customWidth="1"/>
    <col min="13572" max="13574" width="18.7109375" style="1" customWidth="1"/>
    <col min="13575" max="13575" width="10.7109375" style="1" customWidth="1"/>
    <col min="13576" max="13576" width="18.7109375" style="1" customWidth="1"/>
    <col min="13577" max="13577" width="13.7109375" style="1" customWidth="1"/>
    <col min="13578" max="13578" width="15.7109375" style="1" customWidth="1"/>
    <col min="13579" max="13579" width="18.7109375" style="1" customWidth="1"/>
    <col min="13580" max="13580" width="16.7109375" style="1" customWidth="1"/>
    <col min="13581" max="13824" width="8.7109375" style="1"/>
    <col min="13825" max="13825" width="12.7109375" style="1" customWidth="1"/>
    <col min="13826" max="13826" width="10.7109375" style="1" customWidth="1"/>
    <col min="13827" max="13827" width="19.7109375" style="1" customWidth="1"/>
    <col min="13828" max="13830" width="18.7109375" style="1" customWidth="1"/>
    <col min="13831" max="13831" width="10.7109375" style="1" customWidth="1"/>
    <col min="13832" max="13832" width="18.7109375" style="1" customWidth="1"/>
    <col min="13833" max="13833" width="13.7109375" style="1" customWidth="1"/>
    <col min="13834" max="13834" width="15.7109375" style="1" customWidth="1"/>
    <col min="13835" max="13835" width="18.7109375" style="1" customWidth="1"/>
    <col min="13836" max="13836" width="16.7109375" style="1" customWidth="1"/>
    <col min="13837" max="14080" width="8.7109375" style="1"/>
    <col min="14081" max="14081" width="12.7109375" style="1" customWidth="1"/>
    <col min="14082" max="14082" width="10.7109375" style="1" customWidth="1"/>
    <col min="14083" max="14083" width="19.7109375" style="1" customWidth="1"/>
    <col min="14084" max="14086" width="18.7109375" style="1" customWidth="1"/>
    <col min="14087" max="14087" width="10.7109375" style="1" customWidth="1"/>
    <col min="14088" max="14088" width="18.7109375" style="1" customWidth="1"/>
    <col min="14089" max="14089" width="13.7109375" style="1" customWidth="1"/>
    <col min="14090" max="14090" width="15.7109375" style="1" customWidth="1"/>
    <col min="14091" max="14091" width="18.7109375" style="1" customWidth="1"/>
    <col min="14092" max="14092" width="16.7109375" style="1" customWidth="1"/>
    <col min="14093" max="14336" width="8.7109375" style="1"/>
    <col min="14337" max="14337" width="12.7109375" style="1" customWidth="1"/>
    <col min="14338" max="14338" width="10.7109375" style="1" customWidth="1"/>
    <col min="14339" max="14339" width="19.7109375" style="1" customWidth="1"/>
    <col min="14340" max="14342" width="18.7109375" style="1" customWidth="1"/>
    <col min="14343" max="14343" width="10.7109375" style="1" customWidth="1"/>
    <col min="14344" max="14344" width="18.7109375" style="1" customWidth="1"/>
    <col min="14345" max="14345" width="13.7109375" style="1" customWidth="1"/>
    <col min="14346" max="14346" width="15.7109375" style="1" customWidth="1"/>
    <col min="14347" max="14347" width="18.7109375" style="1" customWidth="1"/>
    <col min="14348" max="14348" width="16.7109375" style="1" customWidth="1"/>
    <col min="14349" max="14592" width="8.7109375" style="1"/>
    <col min="14593" max="14593" width="12.7109375" style="1" customWidth="1"/>
    <col min="14594" max="14594" width="10.7109375" style="1" customWidth="1"/>
    <col min="14595" max="14595" width="19.7109375" style="1" customWidth="1"/>
    <col min="14596" max="14598" width="18.7109375" style="1" customWidth="1"/>
    <col min="14599" max="14599" width="10.7109375" style="1" customWidth="1"/>
    <col min="14600" max="14600" width="18.7109375" style="1" customWidth="1"/>
    <col min="14601" max="14601" width="13.7109375" style="1" customWidth="1"/>
    <col min="14602" max="14602" width="15.7109375" style="1" customWidth="1"/>
    <col min="14603" max="14603" width="18.7109375" style="1" customWidth="1"/>
    <col min="14604" max="14604" width="16.7109375" style="1" customWidth="1"/>
    <col min="14605" max="14848" width="8.7109375" style="1"/>
    <col min="14849" max="14849" width="12.7109375" style="1" customWidth="1"/>
    <col min="14850" max="14850" width="10.7109375" style="1" customWidth="1"/>
    <col min="14851" max="14851" width="19.7109375" style="1" customWidth="1"/>
    <col min="14852" max="14854" width="18.7109375" style="1" customWidth="1"/>
    <col min="14855" max="14855" width="10.7109375" style="1" customWidth="1"/>
    <col min="14856" max="14856" width="18.7109375" style="1" customWidth="1"/>
    <col min="14857" max="14857" width="13.7109375" style="1" customWidth="1"/>
    <col min="14858" max="14858" width="15.7109375" style="1" customWidth="1"/>
    <col min="14859" max="14859" width="18.7109375" style="1" customWidth="1"/>
    <col min="14860" max="14860" width="16.7109375" style="1" customWidth="1"/>
    <col min="14861" max="15104" width="8.7109375" style="1"/>
    <col min="15105" max="15105" width="12.7109375" style="1" customWidth="1"/>
    <col min="15106" max="15106" width="10.7109375" style="1" customWidth="1"/>
    <col min="15107" max="15107" width="19.7109375" style="1" customWidth="1"/>
    <col min="15108" max="15110" width="18.7109375" style="1" customWidth="1"/>
    <col min="15111" max="15111" width="10.7109375" style="1" customWidth="1"/>
    <col min="15112" max="15112" width="18.7109375" style="1" customWidth="1"/>
    <col min="15113" max="15113" width="13.7109375" style="1" customWidth="1"/>
    <col min="15114" max="15114" width="15.7109375" style="1" customWidth="1"/>
    <col min="15115" max="15115" width="18.7109375" style="1" customWidth="1"/>
    <col min="15116" max="15116" width="16.7109375" style="1" customWidth="1"/>
    <col min="15117" max="15360" width="8.7109375" style="1"/>
    <col min="15361" max="15361" width="12.7109375" style="1" customWidth="1"/>
    <col min="15362" max="15362" width="10.7109375" style="1" customWidth="1"/>
    <col min="15363" max="15363" width="19.7109375" style="1" customWidth="1"/>
    <col min="15364" max="15366" width="18.7109375" style="1" customWidth="1"/>
    <col min="15367" max="15367" width="10.7109375" style="1" customWidth="1"/>
    <col min="15368" max="15368" width="18.7109375" style="1" customWidth="1"/>
    <col min="15369" max="15369" width="13.7109375" style="1" customWidth="1"/>
    <col min="15370" max="15370" width="15.7109375" style="1" customWidth="1"/>
    <col min="15371" max="15371" width="18.7109375" style="1" customWidth="1"/>
    <col min="15372" max="15372" width="16.7109375" style="1" customWidth="1"/>
    <col min="15373" max="15616" width="8.7109375" style="1"/>
    <col min="15617" max="15617" width="12.7109375" style="1" customWidth="1"/>
    <col min="15618" max="15618" width="10.7109375" style="1" customWidth="1"/>
    <col min="15619" max="15619" width="19.7109375" style="1" customWidth="1"/>
    <col min="15620" max="15622" width="18.7109375" style="1" customWidth="1"/>
    <col min="15623" max="15623" width="10.7109375" style="1" customWidth="1"/>
    <col min="15624" max="15624" width="18.7109375" style="1" customWidth="1"/>
    <col min="15625" max="15625" width="13.7109375" style="1" customWidth="1"/>
    <col min="15626" max="15626" width="15.7109375" style="1" customWidth="1"/>
    <col min="15627" max="15627" width="18.7109375" style="1" customWidth="1"/>
    <col min="15628" max="15628" width="16.7109375" style="1" customWidth="1"/>
    <col min="15629" max="15872" width="8.7109375" style="1"/>
    <col min="15873" max="15873" width="12.7109375" style="1" customWidth="1"/>
    <col min="15874" max="15874" width="10.7109375" style="1" customWidth="1"/>
    <col min="15875" max="15875" width="19.7109375" style="1" customWidth="1"/>
    <col min="15876" max="15878" width="18.7109375" style="1" customWidth="1"/>
    <col min="15879" max="15879" width="10.7109375" style="1" customWidth="1"/>
    <col min="15880" max="15880" width="18.7109375" style="1" customWidth="1"/>
    <col min="15881" max="15881" width="13.7109375" style="1" customWidth="1"/>
    <col min="15882" max="15882" width="15.7109375" style="1" customWidth="1"/>
    <col min="15883" max="15883" width="18.7109375" style="1" customWidth="1"/>
    <col min="15884" max="15884" width="16.7109375" style="1" customWidth="1"/>
    <col min="15885" max="16128" width="8.7109375" style="1"/>
    <col min="16129" max="16129" width="12.7109375" style="1" customWidth="1"/>
    <col min="16130" max="16130" width="10.7109375" style="1" customWidth="1"/>
    <col min="16131" max="16131" width="19.7109375" style="1" customWidth="1"/>
    <col min="16132" max="16134" width="18.7109375" style="1" customWidth="1"/>
    <col min="16135" max="16135" width="10.7109375" style="1" customWidth="1"/>
    <col min="16136" max="16136" width="18.7109375" style="1" customWidth="1"/>
    <col min="16137" max="16137" width="13.7109375" style="1" customWidth="1"/>
    <col min="16138" max="16138" width="15.7109375" style="1" customWidth="1"/>
    <col min="16139" max="16139" width="18.7109375" style="1" customWidth="1"/>
    <col min="16140" max="16140" width="16.7109375" style="1" customWidth="1"/>
    <col min="16141" max="16384" width="8.7109375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18264</v>
      </c>
    </row>
    <row r="3" spans="1:12" x14ac:dyDescent="0.2">
      <c r="A3" s="2">
        <v>18629</v>
      </c>
    </row>
    <row r="4" spans="1:12" x14ac:dyDescent="0.2">
      <c r="A4" s="2">
        <v>18994</v>
      </c>
    </row>
    <row r="5" spans="1:12" x14ac:dyDescent="0.2">
      <c r="A5" s="2">
        <v>19360</v>
      </c>
    </row>
    <row r="6" spans="1:12" x14ac:dyDescent="0.2">
      <c r="A6" s="2">
        <v>19725</v>
      </c>
    </row>
    <row r="7" spans="1:12" x14ac:dyDescent="0.2">
      <c r="A7" s="2">
        <v>20090</v>
      </c>
    </row>
    <row r="8" spans="1:12" x14ac:dyDescent="0.2">
      <c r="A8" s="2">
        <v>20455</v>
      </c>
    </row>
    <row r="9" spans="1:12" x14ac:dyDescent="0.2">
      <c r="A9" s="2">
        <v>20821</v>
      </c>
    </row>
    <row r="10" spans="1:12" x14ac:dyDescent="0.2">
      <c r="A10" s="2">
        <v>21186</v>
      </c>
    </row>
    <row r="11" spans="1:12" x14ac:dyDescent="0.2">
      <c r="A11" s="2">
        <v>21551</v>
      </c>
      <c r="F11" s="3">
        <v>89678.478423766006</v>
      </c>
      <c r="L11" s="4" t="e">
        <f>NA()</f>
        <v>#N/A</v>
      </c>
    </row>
    <row r="12" spans="1:12" x14ac:dyDescent="0.2">
      <c r="A12" s="2">
        <v>21916</v>
      </c>
      <c r="B12" s="5">
        <v>46885</v>
      </c>
      <c r="F12" s="3">
        <v>95652.579515081001</v>
      </c>
      <c r="L12" s="4" t="e">
        <f>NA()</f>
        <v>#N/A</v>
      </c>
    </row>
    <row r="13" spans="1:12" x14ac:dyDescent="0.2">
      <c r="A13" s="2">
        <v>22282</v>
      </c>
      <c r="B13" s="5">
        <v>49855</v>
      </c>
      <c r="C13" s="6">
        <v>67399.1005859375</v>
      </c>
      <c r="F13" s="3">
        <v>106710.36735753001</v>
      </c>
      <c r="L13" s="4" t="e">
        <f>NA()</f>
        <v>#N/A</v>
      </c>
    </row>
    <row r="14" spans="1:12" x14ac:dyDescent="0.2">
      <c r="A14" s="2">
        <v>22647</v>
      </c>
      <c r="B14" s="5">
        <v>50378</v>
      </c>
      <c r="C14" s="6">
        <v>70740.80078125</v>
      </c>
      <c r="F14" s="3">
        <v>114011.94592552001</v>
      </c>
      <c r="L14" s="4" t="e">
        <f>NA()</f>
        <v>#N/A</v>
      </c>
    </row>
    <row r="15" spans="1:12" x14ac:dyDescent="0.2">
      <c r="A15" s="2">
        <v>23012</v>
      </c>
      <c r="B15" s="5">
        <v>55236</v>
      </c>
      <c r="C15" s="6">
        <v>73367.80078125</v>
      </c>
      <c r="F15" s="3">
        <v>123387.53838343</v>
      </c>
      <c r="L15" s="4" t="e">
        <f>NA()</f>
        <v>#N/A</v>
      </c>
    </row>
    <row r="16" spans="1:12" x14ac:dyDescent="0.2">
      <c r="A16" s="2">
        <v>23377</v>
      </c>
      <c r="B16" s="5">
        <v>59830</v>
      </c>
      <c r="C16" s="6">
        <v>82982.90234375</v>
      </c>
      <c r="F16" s="3">
        <v>136128.42650304001</v>
      </c>
      <c r="L16" s="4" t="e">
        <f>NA()</f>
        <v>#N/A</v>
      </c>
    </row>
    <row r="17" spans="1:12" x14ac:dyDescent="0.2">
      <c r="A17" s="2">
        <v>23743</v>
      </c>
      <c r="B17" s="5">
        <v>64917</v>
      </c>
      <c r="C17" s="6">
        <v>91991.40234375</v>
      </c>
      <c r="F17" s="3">
        <v>143860.73395915999</v>
      </c>
      <c r="L17" s="4" t="e">
        <f>NA()</f>
        <v>#N/A</v>
      </c>
    </row>
    <row r="18" spans="1:12" x14ac:dyDescent="0.2">
      <c r="A18" s="2">
        <v>24108</v>
      </c>
      <c r="B18" s="5">
        <v>68531</v>
      </c>
      <c r="C18" s="6">
        <v>102145.90234375</v>
      </c>
      <c r="F18" s="3">
        <v>154671.48611577001</v>
      </c>
      <c r="L18" s="4" t="e">
        <f>NA()</f>
        <v>#N/A</v>
      </c>
    </row>
    <row r="19" spans="1:12" x14ac:dyDescent="0.2">
      <c r="A19" s="2">
        <v>24473</v>
      </c>
      <c r="B19" s="5">
        <v>72729</v>
      </c>
      <c r="C19" s="6">
        <v>102244.203125</v>
      </c>
      <c r="F19" s="3">
        <v>166064.08422841001</v>
      </c>
      <c r="L19" s="4" t="e">
        <f>NA()</f>
        <v>#N/A</v>
      </c>
    </row>
    <row r="20" spans="1:12" x14ac:dyDescent="0.2">
      <c r="A20" s="2">
        <v>24838</v>
      </c>
      <c r="B20" s="5">
        <v>78477</v>
      </c>
      <c r="C20" s="6">
        <v>103118.80078125</v>
      </c>
      <c r="F20" s="3">
        <v>175261.41283976001</v>
      </c>
      <c r="L20" s="4" t="e">
        <f>NA()</f>
        <v>#N/A</v>
      </c>
    </row>
    <row r="21" spans="1:12" x14ac:dyDescent="0.2">
      <c r="A21" s="2">
        <v>25204</v>
      </c>
      <c r="B21" s="5">
        <v>82021</v>
      </c>
      <c r="C21" s="6">
        <v>108067.80078125</v>
      </c>
      <c r="F21" s="3">
        <v>188601.33987523001</v>
      </c>
      <c r="L21" s="4" t="e">
        <f>NA()</f>
        <v>#N/A</v>
      </c>
    </row>
    <row r="22" spans="1:12" x14ac:dyDescent="0.2">
      <c r="A22" s="2">
        <v>25569</v>
      </c>
      <c r="B22" s="5">
        <v>84088</v>
      </c>
      <c r="C22" s="6">
        <v>108679.6015625</v>
      </c>
      <c r="F22" s="3">
        <v>198845.62925038999</v>
      </c>
      <c r="L22" s="4" t="e">
        <f>NA()</f>
        <v>#N/A</v>
      </c>
    </row>
    <row r="23" spans="1:12" x14ac:dyDescent="0.2">
      <c r="A23" s="2">
        <v>25934</v>
      </c>
      <c r="B23" s="5">
        <v>88210</v>
      </c>
      <c r="C23" s="6">
        <v>116569.30078125</v>
      </c>
      <c r="F23" s="3">
        <v>212193.70031946001</v>
      </c>
      <c r="L23" s="4" t="e">
        <f>NA()</f>
        <v>#N/A</v>
      </c>
    </row>
    <row r="24" spans="1:12" x14ac:dyDescent="0.2">
      <c r="A24" s="2">
        <v>26299</v>
      </c>
      <c r="B24" s="5">
        <v>88463</v>
      </c>
      <c r="C24" s="6">
        <v>121382.90234375</v>
      </c>
      <c r="F24" s="3">
        <v>224438.70728214999</v>
      </c>
      <c r="L24" s="7">
        <v>971946.59375</v>
      </c>
    </row>
    <row r="25" spans="1:12" x14ac:dyDescent="0.2">
      <c r="A25" s="2">
        <v>26665</v>
      </c>
      <c r="B25" s="5">
        <v>93887</v>
      </c>
      <c r="C25" s="6">
        <v>131340.90234375</v>
      </c>
      <c r="F25" s="3">
        <v>239674.38436098001</v>
      </c>
      <c r="L25" s="7">
        <v>1040731.59375</v>
      </c>
    </row>
    <row r="26" spans="1:12" x14ac:dyDescent="0.2">
      <c r="A26" s="2">
        <v>27030</v>
      </c>
      <c r="B26" s="5">
        <v>91157</v>
      </c>
      <c r="C26" s="6">
        <v>138407.703125</v>
      </c>
      <c r="F26" s="3">
        <v>245112.78901999001</v>
      </c>
      <c r="L26" s="7">
        <v>1000109</v>
      </c>
    </row>
    <row r="27" spans="1:12" x14ac:dyDescent="0.2">
      <c r="A27" s="2">
        <v>27395</v>
      </c>
      <c r="B27" s="5">
        <v>89656</v>
      </c>
      <c r="C27" s="6">
        <v>144285.90234375</v>
      </c>
      <c r="F27" s="3">
        <v>232622.55615670999</v>
      </c>
      <c r="L27" s="7">
        <v>927100.6875</v>
      </c>
    </row>
    <row r="28" spans="1:12" x14ac:dyDescent="0.2">
      <c r="A28" s="2">
        <v>27760</v>
      </c>
      <c r="B28" s="5">
        <v>93653</v>
      </c>
      <c r="C28" s="6">
        <v>153529.6015625</v>
      </c>
      <c r="F28" s="3">
        <v>237920.70245929001</v>
      </c>
      <c r="L28" s="7">
        <v>1001567</v>
      </c>
    </row>
    <row r="29" spans="1:12" x14ac:dyDescent="0.2">
      <c r="A29" s="2">
        <v>28126</v>
      </c>
      <c r="B29" s="5">
        <v>96271</v>
      </c>
      <c r="C29" s="6">
        <v>157267.80078125</v>
      </c>
      <c r="F29" s="3">
        <v>236274.70277963</v>
      </c>
      <c r="L29" s="7">
        <v>1105017.625</v>
      </c>
    </row>
    <row r="30" spans="1:12" x14ac:dyDescent="0.2">
      <c r="A30" s="2">
        <v>28491</v>
      </c>
      <c r="B30" s="5">
        <v>103828</v>
      </c>
      <c r="C30" s="6">
        <v>160213.90234375</v>
      </c>
      <c r="F30" s="3">
        <v>242637.54574140999</v>
      </c>
      <c r="L30" s="7">
        <v>1222736.9375</v>
      </c>
    </row>
    <row r="31" spans="1:12" x14ac:dyDescent="0.2">
      <c r="A31" s="2">
        <v>28856</v>
      </c>
      <c r="B31" s="5">
        <v>110356</v>
      </c>
      <c r="C31" s="6">
        <v>170305.1015625</v>
      </c>
      <c r="F31" s="3">
        <v>249538.34736705999</v>
      </c>
      <c r="L31" s="7">
        <v>1292419.625</v>
      </c>
    </row>
    <row r="32" spans="1:12" x14ac:dyDescent="0.2">
      <c r="A32" s="2">
        <v>29221</v>
      </c>
      <c r="B32" s="5">
        <v>118989</v>
      </c>
      <c r="C32" s="6">
        <v>179526.90234375</v>
      </c>
      <c r="F32" s="3">
        <v>256760.11440577</v>
      </c>
      <c r="L32" s="7">
        <v>1236942.625</v>
      </c>
    </row>
    <row r="33" spans="1:12" x14ac:dyDescent="0.2">
      <c r="A33" s="2">
        <v>29587</v>
      </c>
      <c r="B33" s="5">
        <v>132240</v>
      </c>
      <c r="C33" s="6">
        <v>195831.203125</v>
      </c>
      <c r="F33" s="3">
        <v>253941.73584487001</v>
      </c>
      <c r="L33" s="7">
        <v>1260541.3125</v>
      </c>
    </row>
    <row r="34" spans="1:12" x14ac:dyDescent="0.2">
      <c r="A34" s="2">
        <v>29952</v>
      </c>
      <c r="B34" s="5">
        <v>129987</v>
      </c>
      <c r="C34" s="6">
        <v>174727.80078125</v>
      </c>
      <c r="F34" s="3">
        <v>251784.74330150001</v>
      </c>
      <c r="L34" s="7">
        <v>1197946.75</v>
      </c>
    </row>
    <row r="35" spans="1:12" x14ac:dyDescent="0.2">
      <c r="A35" s="2">
        <v>30317</v>
      </c>
      <c r="B35" s="5">
        <v>121542</v>
      </c>
      <c r="C35" s="6">
        <v>173485.80078125</v>
      </c>
      <c r="F35" s="3">
        <v>243283.45809509</v>
      </c>
      <c r="L35" s="7">
        <v>1284909.8125</v>
      </c>
    </row>
    <row r="36" spans="1:12" x14ac:dyDescent="0.2">
      <c r="A36" s="2">
        <v>30682</v>
      </c>
      <c r="B36" s="5">
        <v>133753</v>
      </c>
      <c r="C36" s="6">
        <v>177246.30078125</v>
      </c>
      <c r="F36" s="3">
        <v>240491.95484508001</v>
      </c>
      <c r="L36" s="7">
        <v>1477763.4375</v>
      </c>
    </row>
    <row r="37" spans="1:12" x14ac:dyDescent="0.2">
      <c r="A37" s="2">
        <v>31048</v>
      </c>
      <c r="B37" s="5">
        <v>148921</v>
      </c>
      <c r="C37" s="6">
        <v>192294.80078125</v>
      </c>
      <c r="F37" s="3">
        <v>245158.30511889001</v>
      </c>
      <c r="L37" s="7">
        <v>1581275.3125</v>
      </c>
    </row>
    <row r="38" spans="1:12" x14ac:dyDescent="0.2">
      <c r="A38" s="2">
        <v>31413</v>
      </c>
      <c r="B38" s="5">
        <v>148149</v>
      </c>
      <c r="C38" s="6">
        <v>199909.80078125</v>
      </c>
      <c r="F38" s="3">
        <v>255271.83751015001</v>
      </c>
      <c r="L38" s="7">
        <v>1631020.4375</v>
      </c>
    </row>
    <row r="39" spans="1:12" x14ac:dyDescent="0.2">
      <c r="A39" s="2">
        <v>31778</v>
      </c>
      <c r="B39" s="5">
        <v>154976</v>
      </c>
      <c r="C39" s="6">
        <v>218051.1015625</v>
      </c>
      <c r="F39" s="3">
        <v>268365.99570943997</v>
      </c>
      <c r="L39" s="7">
        <v>1659858.3125</v>
      </c>
    </row>
    <row r="40" spans="1:12" x14ac:dyDescent="0.2">
      <c r="A40" s="2">
        <v>32143</v>
      </c>
      <c r="B40" s="5">
        <v>168366</v>
      </c>
      <c r="C40" s="6">
        <v>237951.6015625</v>
      </c>
      <c r="F40" s="3">
        <v>291365.47050765</v>
      </c>
      <c r="L40" s="7">
        <v>1698235.125</v>
      </c>
    </row>
    <row r="41" spans="1:12" x14ac:dyDescent="0.2">
      <c r="A41" s="2">
        <v>32509</v>
      </c>
      <c r="B41" s="5">
        <v>184297</v>
      </c>
      <c r="C41" s="6">
        <v>250216.40234375</v>
      </c>
      <c r="F41" s="3">
        <v>312381.51116739999</v>
      </c>
      <c r="L41" s="7">
        <v>1748002.125</v>
      </c>
    </row>
    <row r="42" spans="1:12" x14ac:dyDescent="0.2">
      <c r="A42" s="2">
        <v>32874</v>
      </c>
      <c r="B42" s="5">
        <v>172458</v>
      </c>
      <c r="C42" s="6">
        <v>241514.703125</v>
      </c>
      <c r="F42" s="3">
        <v>326009.37503523001</v>
      </c>
      <c r="L42" s="7">
        <v>1746168.3125</v>
      </c>
    </row>
    <row r="43" spans="1:12" x14ac:dyDescent="0.2">
      <c r="A43" s="2">
        <v>33239</v>
      </c>
      <c r="B43" s="5">
        <v>156050</v>
      </c>
      <c r="C43" s="6">
        <v>231314.703125</v>
      </c>
      <c r="D43" s="8">
        <v>450304.61837084999</v>
      </c>
      <c r="F43" s="3">
        <v>324337.58591584</v>
      </c>
      <c r="L43" s="7">
        <v>1674452.8125</v>
      </c>
    </row>
    <row r="44" spans="1:12" x14ac:dyDescent="0.2">
      <c r="A44" s="2">
        <v>33604</v>
      </c>
      <c r="B44" s="5">
        <v>161119</v>
      </c>
      <c r="C44" s="6">
        <v>224515.30078125</v>
      </c>
      <c r="D44" s="8">
        <v>468316.79944541003</v>
      </c>
      <c r="F44" s="3">
        <v>317547.09070084</v>
      </c>
      <c r="L44" s="7">
        <v>1743105.8125</v>
      </c>
    </row>
    <row r="45" spans="1:12" x14ac:dyDescent="0.2">
      <c r="A45" s="2">
        <v>33970</v>
      </c>
      <c r="B45" s="5">
        <v>169415</v>
      </c>
      <c r="C45" s="6">
        <v>221907.80078125</v>
      </c>
      <c r="D45" s="8">
        <v>448344.11112974997</v>
      </c>
      <c r="F45" s="3">
        <v>299506.06551486999</v>
      </c>
      <c r="J45" s="9">
        <v>3120950.1875</v>
      </c>
      <c r="L45" s="7">
        <v>1831917.4375</v>
      </c>
    </row>
    <row r="46" spans="1:12" x14ac:dyDescent="0.2">
      <c r="A46" s="2">
        <v>34335</v>
      </c>
      <c r="B46" s="5">
        <v>192569</v>
      </c>
      <c r="C46" s="6">
        <v>236778.703125</v>
      </c>
      <c r="D46" s="8">
        <v>464395.78496322001</v>
      </c>
      <c r="F46" s="3">
        <v>303649.56883161003</v>
      </c>
      <c r="I46" s="5">
        <v>141097200</v>
      </c>
      <c r="J46" s="9">
        <v>3531651.5625</v>
      </c>
      <c r="L46" s="7">
        <v>1943752.3125</v>
      </c>
    </row>
    <row r="47" spans="1:12" x14ac:dyDescent="0.2">
      <c r="A47" s="2">
        <v>34700</v>
      </c>
      <c r="B47" s="5">
        <v>192400</v>
      </c>
      <c r="C47" s="6">
        <v>233546</v>
      </c>
      <c r="D47" s="8">
        <v>463476.79095485999</v>
      </c>
      <c r="E47" s="8">
        <v>153034.63085377001</v>
      </c>
      <c r="F47" s="3">
        <v>307727.55792251002</v>
      </c>
      <c r="G47" s="5">
        <v>238994</v>
      </c>
      <c r="H47" s="8">
        <v>274584.30699547997</v>
      </c>
      <c r="I47" s="5">
        <v>145619700</v>
      </c>
      <c r="J47" s="9">
        <v>2334580.8125</v>
      </c>
      <c r="L47" s="7">
        <v>2043967.125</v>
      </c>
    </row>
    <row r="48" spans="1:12" x14ac:dyDescent="0.2">
      <c r="A48" s="2">
        <v>35065</v>
      </c>
      <c r="B48" s="5">
        <v>204923</v>
      </c>
      <c r="C48" s="6">
        <v>247019.6015625</v>
      </c>
      <c r="D48" s="8">
        <v>461393.75617059</v>
      </c>
      <c r="E48" s="8">
        <v>156861.36657037999</v>
      </c>
      <c r="F48" s="3">
        <v>308716.42457998003</v>
      </c>
      <c r="G48" s="5">
        <v>250146</v>
      </c>
      <c r="H48" s="8">
        <v>280653.56012257002</v>
      </c>
      <c r="I48" s="5">
        <v>155531300</v>
      </c>
      <c r="J48" s="9">
        <v>2768150.4375</v>
      </c>
      <c r="L48" s="7">
        <v>2200416.625</v>
      </c>
    </row>
    <row r="49" spans="1:12" x14ac:dyDescent="0.2">
      <c r="A49" s="2">
        <v>35431</v>
      </c>
      <c r="B49" s="5">
        <v>230120</v>
      </c>
      <c r="C49" s="6">
        <v>275872.09375</v>
      </c>
      <c r="D49" s="8">
        <v>463783.12229098001</v>
      </c>
      <c r="E49" s="8">
        <v>165527.04491018999</v>
      </c>
      <c r="F49" s="3">
        <v>309391.11251904001</v>
      </c>
      <c r="G49" s="5">
        <v>246458</v>
      </c>
      <c r="H49" s="8">
        <v>286929.23461748002</v>
      </c>
      <c r="I49" s="5">
        <v>152546700</v>
      </c>
      <c r="J49" s="9">
        <v>3195460.6875</v>
      </c>
      <c r="L49" s="7">
        <v>2358431.4375</v>
      </c>
    </row>
    <row r="50" spans="1:12" x14ac:dyDescent="0.2">
      <c r="A50" s="2">
        <v>35796</v>
      </c>
      <c r="B50" s="5">
        <v>241122</v>
      </c>
      <c r="C50" s="6">
        <v>284794.09375</v>
      </c>
      <c r="D50" s="8">
        <v>482469.23396877002</v>
      </c>
      <c r="E50" s="8">
        <v>183344.54747518999</v>
      </c>
      <c r="F50" s="3">
        <v>329021.40061726002</v>
      </c>
      <c r="G50" s="5">
        <v>260643</v>
      </c>
      <c r="H50" s="8">
        <v>298311.97831414</v>
      </c>
      <c r="I50" s="5">
        <v>146032300</v>
      </c>
      <c r="J50" s="9">
        <v>3536752.25</v>
      </c>
      <c r="K50" s="8">
        <v>148405.61377952999</v>
      </c>
      <c r="L50" s="7">
        <v>2577617.625</v>
      </c>
    </row>
    <row r="51" spans="1:12" x14ac:dyDescent="0.2">
      <c r="A51" s="2">
        <v>36161</v>
      </c>
      <c r="B51" s="5">
        <v>253704</v>
      </c>
      <c r="C51" s="6">
        <v>299412.296875</v>
      </c>
      <c r="D51" s="8">
        <v>503177.12081863999</v>
      </c>
      <c r="E51" s="8">
        <v>201514.12200768999</v>
      </c>
      <c r="F51" s="3">
        <v>354039.78134470002</v>
      </c>
      <c r="G51" s="5">
        <v>265133</v>
      </c>
      <c r="H51" s="8">
        <v>312063.4536979</v>
      </c>
      <c r="I51" s="5">
        <v>144442300</v>
      </c>
      <c r="J51" s="9">
        <v>3697841.125</v>
      </c>
      <c r="K51" s="8">
        <v>126978.9687914</v>
      </c>
      <c r="L51" s="7">
        <v>2792191.8125</v>
      </c>
    </row>
    <row r="52" spans="1:12" x14ac:dyDescent="0.2">
      <c r="A52" s="2">
        <v>36526</v>
      </c>
      <c r="B52" s="5">
        <v>258955</v>
      </c>
      <c r="C52" s="6">
        <v>314575.390625</v>
      </c>
      <c r="D52" s="8">
        <v>513653.59594614001</v>
      </c>
      <c r="E52" s="8">
        <v>216952.06839693</v>
      </c>
      <c r="F52" s="3">
        <v>377465.91301423998</v>
      </c>
      <c r="G52" s="5">
        <v>280314</v>
      </c>
      <c r="H52" s="8">
        <v>333601.84974382998</v>
      </c>
      <c r="I52" s="5">
        <v>145351300</v>
      </c>
      <c r="J52" s="9">
        <v>3879718.875</v>
      </c>
      <c r="K52" s="8">
        <v>154798.17873458</v>
      </c>
      <c r="L52" s="7">
        <v>2970822.625</v>
      </c>
    </row>
    <row r="53" spans="1:12" x14ac:dyDescent="0.2">
      <c r="A53" s="2">
        <v>36892</v>
      </c>
      <c r="B53" s="5">
        <v>250448</v>
      </c>
      <c r="C53" s="6">
        <v>329734.296875</v>
      </c>
      <c r="D53" s="8">
        <v>500236.35163818998</v>
      </c>
      <c r="E53" s="8">
        <v>226037.36739570001</v>
      </c>
      <c r="F53" s="3">
        <v>385299.29697625001</v>
      </c>
      <c r="G53" s="5">
        <v>285884</v>
      </c>
      <c r="H53" s="8">
        <v>341660.74450549</v>
      </c>
      <c r="I53" s="5">
        <v>143390100</v>
      </c>
      <c r="J53" s="9">
        <v>3613902.1875</v>
      </c>
      <c r="K53" s="8">
        <v>112987.3359505</v>
      </c>
      <c r="L53" s="7">
        <v>2958252.9375</v>
      </c>
    </row>
    <row r="54" spans="1:12" x14ac:dyDescent="0.2">
      <c r="A54" s="2">
        <v>37257</v>
      </c>
      <c r="B54" s="5">
        <v>287650</v>
      </c>
      <c r="C54" s="6">
        <v>333015.390625</v>
      </c>
      <c r="D54" s="8">
        <v>469848.44780721999</v>
      </c>
      <c r="E54" s="8">
        <v>235269.02189258</v>
      </c>
      <c r="F54" s="3">
        <v>381619.18917129998</v>
      </c>
      <c r="G54" s="5">
        <v>291584</v>
      </c>
      <c r="H54" s="8">
        <v>354015.71424808999</v>
      </c>
      <c r="I54" s="5">
        <v>136456100</v>
      </c>
      <c r="J54" s="9">
        <v>3593829.8125</v>
      </c>
      <c r="K54" s="8">
        <v>133122.83074167999</v>
      </c>
      <c r="L54" s="7">
        <v>2908089.5</v>
      </c>
    </row>
    <row r="55" spans="1:12" x14ac:dyDescent="0.2">
      <c r="A55" s="2">
        <v>37622</v>
      </c>
      <c r="B55" s="5">
        <v>313241</v>
      </c>
      <c r="C55" s="6">
        <v>350400.890625</v>
      </c>
      <c r="D55" s="8">
        <v>462251.47392917</v>
      </c>
      <c r="E55" s="8">
        <v>250743.81302261</v>
      </c>
      <c r="F55" s="3">
        <v>390618.43678767001</v>
      </c>
      <c r="G55" s="5">
        <v>298917</v>
      </c>
      <c r="H55" s="8">
        <v>350877.73752672999</v>
      </c>
      <c r="I55" s="5">
        <v>135595700</v>
      </c>
      <c r="J55" s="9">
        <v>3656694.0625</v>
      </c>
      <c r="K55" s="8">
        <v>158940.92271866</v>
      </c>
      <c r="L55" s="7">
        <v>3031302.625</v>
      </c>
    </row>
    <row r="56" spans="1:12" x14ac:dyDescent="0.2">
      <c r="A56" s="2">
        <v>37987</v>
      </c>
      <c r="B56" s="5">
        <v>336301</v>
      </c>
      <c r="C56" s="6">
        <v>379953.796875</v>
      </c>
      <c r="D56" s="8">
        <v>460168.43082611001</v>
      </c>
      <c r="E56" s="8">
        <v>262191.26929174998</v>
      </c>
      <c r="F56" s="3">
        <v>404691.86978264002</v>
      </c>
      <c r="G56" s="5">
        <v>306870</v>
      </c>
      <c r="H56" s="8">
        <v>356698.35518645</v>
      </c>
      <c r="I56" s="5">
        <v>135992700</v>
      </c>
      <c r="J56" s="9">
        <v>3899108.5</v>
      </c>
      <c r="K56" s="8">
        <v>209672.72578405001</v>
      </c>
      <c r="L56" s="7">
        <v>3212964.3125</v>
      </c>
    </row>
    <row r="57" spans="1:12" x14ac:dyDescent="0.2">
      <c r="A57" s="2">
        <v>38353</v>
      </c>
      <c r="B57" s="5">
        <v>363977</v>
      </c>
      <c r="C57" s="6">
        <v>414622.890625</v>
      </c>
      <c r="D57" s="8">
        <v>464273.24910125002</v>
      </c>
      <c r="E57" s="8">
        <v>280482.63616185001</v>
      </c>
      <c r="F57" s="3">
        <v>416699.52341054002</v>
      </c>
      <c r="G57" s="5">
        <v>319499</v>
      </c>
      <c r="H57" s="8">
        <v>362674.62571540999</v>
      </c>
      <c r="I57" s="5">
        <v>140028600</v>
      </c>
      <c r="J57" s="9">
        <v>4091958.25</v>
      </c>
      <c r="K57" s="8">
        <v>250703.32568713999</v>
      </c>
      <c r="L57" s="7">
        <v>3407649</v>
      </c>
    </row>
    <row r="58" spans="1:12" x14ac:dyDescent="0.2">
      <c r="A58" s="2">
        <v>38718</v>
      </c>
      <c r="B58" s="5">
        <v>378998</v>
      </c>
      <c r="C58" s="6">
        <v>440663.796875</v>
      </c>
      <c r="D58" s="8">
        <v>499256.09801765002</v>
      </c>
      <c r="E58" s="8">
        <v>300844.47277111001</v>
      </c>
      <c r="F58" s="3">
        <v>434926.59451962</v>
      </c>
      <c r="G58" s="5">
        <v>328697</v>
      </c>
      <c r="H58" s="8">
        <v>372138.76648246002</v>
      </c>
      <c r="I58" s="5">
        <v>140587400</v>
      </c>
      <c r="J58" s="9">
        <v>4483010.875</v>
      </c>
      <c r="K58" s="8">
        <v>289276.86810543999</v>
      </c>
      <c r="L58" s="7">
        <v>3498781.4375</v>
      </c>
    </row>
    <row r="59" spans="1:12" x14ac:dyDescent="0.2">
      <c r="A59" s="2">
        <v>39083</v>
      </c>
      <c r="B59" s="5">
        <v>410472</v>
      </c>
      <c r="C59" s="6">
        <v>454621.890625</v>
      </c>
      <c r="D59" s="8">
        <v>517329.54702319001</v>
      </c>
      <c r="E59" s="8">
        <v>312864.04598744999</v>
      </c>
      <c r="F59" s="3">
        <v>458680.56878615997</v>
      </c>
      <c r="G59" s="5">
        <v>343028</v>
      </c>
      <c r="H59" s="8">
        <v>378065.19833883998</v>
      </c>
      <c r="I59" s="5">
        <v>137561300</v>
      </c>
      <c r="J59" s="9">
        <v>4796781.375</v>
      </c>
      <c r="K59" s="8">
        <v>305178.89679650997</v>
      </c>
      <c r="L59" s="7">
        <v>3478525.625</v>
      </c>
    </row>
    <row r="60" spans="1:12" x14ac:dyDescent="0.2">
      <c r="A60" s="2">
        <v>39448</v>
      </c>
      <c r="B60" s="5">
        <v>439825</v>
      </c>
      <c r="C60" s="6">
        <v>462015.390625</v>
      </c>
      <c r="D60" s="8">
        <v>525477.92396129004</v>
      </c>
      <c r="E60" s="8">
        <v>299730.94282736001</v>
      </c>
      <c r="F60" s="3">
        <v>464213.26325640001</v>
      </c>
      <c r="G60" s="5">
        <v>331947</v>
      </c>
      <c r="H60" s="8">
        <v>365547.41606692999</v>
      </c>
      <c r="I60" s="5">
        <v>132303500</v>
      </c>
      <c r="J60" s="9">
        <v>5110059.5</v>
      </c>
      <c r="K60" s="8">
        <v>296883.09676540003</v>
      </c>
      <c r="L60" s="7">
        <v>3332230.125</v>
      </c>
    </row>
    <row r="61" spans="1:12" x14ac:dyDescent="0.2">
      <c r="A61" s="2">
        <v>39814</v>
      </c>
      <c r="B61" s="5">
        <v>429945</v>
      </c>
      <c r="C61" s="6">
        <v>409740.09375</v>
      </c>
      <c r="D61" s="8">
        <v>474688.45629777003</v>
      </c>
      <c r="E61" s="8">
        <v>248391.89040244999</v>
      </c>
      <c r="F61" s="3">
        <v>421371.57450787001</v>
      </c>
      <c r="G61" s="5">
        <v>291210</v>
      </c>
      <c r="H61" s="8">
        <v>327586.99143663998</v>
      </c>
      <c r="I61" s="5">
        <v>119041800</v>
      </c>
      <c r="J61" s="9">
        <v>4500649.75</v>
      </c>
      <c r="K61" s="8">
        <v>235857.05255863001</v>
      </c>
      <c r="L61" s="7">
        <v>2914966.9375</v>
      </c>
    </row>
    <row r="62" spans="1:12" x14ac:dyDescent="0.2">
      <c r="A62" s="2">
        <v>40179</v>
      </c>
      <c r="B62" s="5">
        <v>448264</v>
      </c>
      <c r="C62" s="6">
        <v>456906.296875</v>
      </c>
      <c r="D62" s="8">
        <v>501768</v>
      </c>
      <c r="E62" s="8">
        <v>235617</v>
      </c>
      <c r="F62" s="3">
        <v>428800.2</v>
      </c>
      <c r="G62" s="5">
        <v>305032</v>
      </c>
      <c r="H62" s="8">
        <v>327450.40000000002</v>
      </c>
      <c r="I62" s="5">
        <v>117490200</v>
      </c>
      <c r="J62" s="9">
        <v>4781071.125</v>
      </c>
      <c r="K62" s="8">
        <v>287659.50099999999</v>
      </c>
      <c r="L62" s="7">
        <v>2980762.625</v>
      </c>
    </row>
    <row r="63" spans="1:12" x14ac:dyDescent="0.2">
      <c r="A63" s="2">
        <v>40544</v>
      </c>
      <c r="B63" s="5">
        <v>480405</v>
      </c>
      <c r="C63" s="6">
        <v>478095.890625</v>
      </c>
      <c r="D63" s="8">
        <v>539140.22335558</v>
      </c>
      <c r="E63" s="8">
        <v>218311.22994592</v>
      </c>
      <c r="F63" s="3">
        <v>437808.67752110999</v>
      </c>
      <c r="G63" s="5">
        <v>305354</v>
      </c>
      <c r="H63" s="8">
        <v>322438.63796133001</v>
      </c>
      <c r="I63" s="5">
        <v>120098300</v>
      </c>
      <c r="J63" s="9">
        <v>5196455.5</v>
      </c>
      <c r="K63" s="8">
        <v>355764.47225788003</v>
      </c>
      <c r="L63" s="7">
        <v>3118680.8125</v>
      </c>
    </row>
    <row r="64" spans="1:12" x14ac:dyDescent="0.2">
      <c r="A64" s="2">
        <v>40909</v>
      </c>
      <c r="B64" s="5">
        <v>528634</v>
      </c>
      <c r="C64" s="6">
        <v>501456.296875</v>
      </c>
      <c r="D64" s="8">
        <v>537976.17426086997</v>
      </c>
      <c r="E64" s="8">
        <v>202738.18617378999</v>
      </c>
      <c r="F64" s="3">
        <v>436708.32809259999</v>
      </c>
      <c r="G64" s="5">
        <v>310222</v>
      </c>
      <c r="H64" s="8">
        <v>290707.48950949003</v>
      </c>
      <c r="I64" s="5">
        <v>123427600</v>
      </c>
      <c r="J64" s="9">
        <v>5390486.75</v>
      </c>
      <c r="K64" s="8">
        <v>365947.87216481002</v>
      </c>
      <c r="L64" s="7">
        <v>3334211.4375</v>
      </c>
    </row>
    <row r="65" spans="1:12" x14ac:dyDescent="0.2">
      <c r="A65" s="2">
        <v>41275</v>
      </c>
      <c r="B65" s="5">
        <v>517188</v>
      </c>
      <c r="C65" s="6">
        <v>508721.796875</v>
      </c>
      <c r="D65" s="8">
        <v>531788.31288266997</v>
      </c>
      <c r="E65" s="8">
        <v>195615.8930869</v>
      </c>
      <c r="F65" s="3">
        <v>434317.87325270998</v>
      </c>
      <c r="G65" s="5">
        <v>320303</v>
      </c>
      <c r="H65" s="8">
        <v>271145.25262141001</v>
      </c>
      <c r="I65" s="5">
        <v>128503400</v>
      </c>
      <c r="J65" s="9">
        <v>5176505.375</v>
      </c>
      <c r="K65" s="8">
        <v>418072.46266308002</v>
      </c>
      <c r="L65" s="7">
        <v>3470193.125</v>
      </c>
    </row>
    <row r="66" spans="1:12" x14ac:dyDescent="0.2">
      <c r="A66" s="2">
        <v>41640</v>
      </c>
      <c r="B66" s="5">
        <v>505002</v>
      </c>
      <c r="C66" s="6">
        <v>520168.296875</v>
      </c>
      <c r="D66" s="8">
        <v>550903.28343974997</v>
      </c>
      <c r="E66" s="8">
        <v>204162.84948418001</v>
      </c>
      <c r="F66" s="3">
        <v>432596.22454983997</v>
      </c>
      <c r="G66" s="5">
        <v>342840</v>
      </c>
      <c r="H66" s="8">
        <v>265288.18578324001</v>
      </c>
      <c r="I66" s="5">
        <v>131358300</v>
      </c>
      <c r="J66" s="9">
        <v>5300647.375</v>
      </c>
      <c r="K66" s="8">
        <v>438601.39518082002</v>
      </c>
      <c r="L66" s="7">
        <v>3674643.3125</v>
      </c>
    </row>
    <row r="67" spans="1:12" x14ac:dyDescent="0.2">
      <c r="A67" s="2">
        <v>42005</v>
      </c>
      <c r="B67" s="5">
        <v>484835</v>
      </c>
      <c r="C67" s="6">
        <v>493067.890625</v>
      </c>
      <c r="D67" s="8">
        <v>560583.30042085005</v>
      </c>
      <c r="E67" s="8">
        <v>215037.16534109</v>
      </c>
      <c r="F67" s="3">
        <v>435273.07790462999</v>
      </c>
      <c r="G67" s="5">
        <v>367340</v>
      </c>
      <c r="H67" s="8">
        <v>270460.34280366002</v>
      </c>
      <c r="I67" s="5">
        <v>134354500</v>
      </c>
      <c r="J67" s="9">
        <v>5536414.375</v>
      </c>
      <c r="K67" s="8">
        <v>479308.31586436997</v>
      </c>
      <c r="L67" s="7">
        <v>3836362.625</v>
      </c>
    </row>
    <row r="68" spans="1:12" x14ac:dyDescent="0.2">
      <c r="A68" s="2">
        <v>42370</v>
      </c>
      <c r="B68" s="5">
        <v>473491</v>
      </c>
      <c r="C68" s="6">
        <v>470124.59375</v>
      </c>
      <c r="D68" s="8">
        <v>581842.58201198</v>
      </c>
      <c r="E68" s="8">
        <v>219409.40791434</v>
      </c>
      <c r="F68" s="3">
        <v>447281.90789295</v>
      </c>
      <c r="G68" s="5">
        <v>386225</v>
      </c>
      <c r="H68" s="8">
        <v>280865.37448109</v>
      </c>
      <c r="I68" s="5">
        <v>135912400</v>
      </c>
      <c r="J68" s="9">
        <v>5567469.625</v>
      </c>
      <c r="K68" s="8">
        <v>489877.11133282998</v>
      </c>
      <c r="L68" s="7">
        <v>3947726.3125</v>
      </c>
    </row>
    <row r="69" spans="1:12" x14ac:dyDescent="0.2">
      <c r="A69" s="2">
        <v>42736</v>
      </c>
      <c r="B69" s="5">
        <v>490053</v>
      </c>
      <c r="C69" s="6">
        <v>485847.09375</v>
      </c>
      <c r="D69" s="8">
        <v>597220.32524221996</v>
      </c>
      <c r="E69" s="8">
        <v>234220.99371022999</v>
      </c>
      <c r="F69" s="3">
        <v>463823.79747182998</v>
      </c>
      <c r="G69" s="5">
        <v>399752</v>
      </c>
      <c r="H69" s="8">
        <v>290019.23231821001</v>
      </c>
      <c r="I69" s="5">
        <v>138101000</v>
      </c>
      <c r="J69" s="9">
        <v>5537138</v>
      </c>
      <c r="K69" s="8">
        <v>530323.86249524006</v>
      </c>
      <c r="L69" s="7">
        <v>4116417.125</v>
      </c>
    </row>
    <row r="70" spans="1:12" x14ac:dyDescent="0.2">
      <c r="A70" s="2">
        <v>43101</v>
      </c>
      <c r="B70" s="5">
        <v>501893</v>
      </c>
      <c r="C70" s="6">
        <v>497329.5</v>
      </c>
      <c r="D70" s="8">
        <v>618785.93816947006</v>
      </c>
      <c r="E70" s="8">
        <v>249418.42581933999</v>
      </c>
      <c r="F70" s="3">
        <v>480067.88688876998</v>
      </c>
      <c r="G70" s="5">
        <v>397838</v>
      </c>
      <c r="H70" s="8">
        <v>299533.30474045</v>
      </c>
      <c r="I70" s="5">
        <v>138926800</v>
      </c>
      <c r="J70" s="9">
        <v>5572111.625</v>
      </c>
      <c r="K70" s="8">
        <v>531088.36790933996</v>
      </c>
      <c r="L70" s="7">
        <v>4323277.75</v>
      </c>
    </row>
    <row r="71" spans="1:12" x14ac:dyDescent="0.2">
      <c r="A71" s="2">
        <v>43466</v>
      </c>
      <c r="B71" s="5">
        <v>489165</v>
      </c>
      <c r="C71" s="6">
        <v>501191.59375</v>
      </c>
      <c r="D71" s="8">
        <v>631345.45640002994</v>
      </c>
      <c r="E71" s="8">
        <v>261618.12887953001</v>
      </c>
      <c r="F71" s="3">
        <v>499799.07051435998</v>
      </c>
      <c r="G71" s="5">
        <v>406423</v>
      </c>
      <c r="H71" s="8">
        <v>304263.79441979999</v>
      </c>
      <c r="I71" s="5">
        <v>139688000</v>
      </c>
      <c r="J71" s="9">
        <v>5325239.125</v>
      </c>
      <c r="K71" s="8">
        <v>464852.13307464001</v>
      </c>
      <c r="L71" s="7">
        <v>4449852.75</v>
      </c>
    </row>
    <row r="72" spans="1:12" x14ac:dyDescent="0.2">
      <c r="A72" s="2">
        <v>43831</v>
      </c>
      <c r="B72" s="5">
        <v>477317</v>
      </c>
      <c r="C72" s="6">
        <v>482320.890625</v>
      </c>
      <c r="D72" s="8">
        <v>612659.34472225001</v>
      </c>
      <c r="E72" s="8">
        <v>238260.61015138001</v>
      </c>
      <c r="F72" s="3">
        <v>470665.23814145999</v>
      </c>
      <c r="G72" s="5">
        <v>362657</v>
      </c>
      <c r="H72" s="8">
        <v>282641.52807037003</v>
      </c>
      <c r="I72" s="5">
        <v>134567500</v>
      </c>
      <c r="J72" s="9">
        <v>4411174.375</v>
      </c>
      <c r="K72" s="8">
        <v>498914.96344968001</v>
      </c>
      <c r="L72" s="7">
        <v>4413579.75</v>
      </c>
    </row>
    <row r="73" spans="1:12" x14ac:dyDescent="0.2">
      <c r="A73" s="2">
        <v>44197</v>
      </c>
      <c r="B73" s="5">
        <v>528345</v>
      </c>
      <c r="C73" s="6">
        <v>527181.890625</v>
      </c>
      <c r="D73" s="8">
        <v>616580.36752323003</v>
      </c>
      <c r="E73" s="8">
        <v>244539.56806029001</v>
      </c>
      <c r="F73" s="3">
        <v>516481.48991746001</v>
      </c>
      <c r="G73" s="5">
        <v>389652</v>
      </c>
      <c r="H73" s="8">
        <v>343531.92631005001</v>
      </c>
      <c r="I73" s="5">
        <v>135132700</v>
      </c>
      <c r="J73" s="9">
        <v>4873787.5</v>
      </c>
      <c r="K73" s="8">
        <v>534985.30714659998</v>
      </c>
      <c r="L73" s="7">
        <v>4653411</v>
      </c>
    </row>
    <row r="74" spans="1:12" x14ac:dyDescent="0.2">
      <c r="A74" s="2">
        <v>44562</v>
      </c>
      <c r="B74" s="5">
        <v>540470</v>
      </c>
      <c r="C74" s="6">
        <v>514778.296875</v>
      </c>
      <c r="D74" s="8">
        <v>615355.04217875004</v>
      </c>
      <c r="E74" s="8">
        <v>252494.96167496001</v>
      </c>
      <c r="F74" s="3">
        <v>516234.72569940001</v>
      </c>
      <c r="G74" s="5">
        <v>420902</v>
      </c>
      <c r="H74" s="8">
        <v>369420.97812201001</v>
      </c>
      <c r="I74" s="5">
        <v>134399600</v>
      </c>
      <c r="J74" s="9">
        <v>5239068.625</v>
      </c>
      <c r="K74" s="8">
        <v>541766.44636369997</v>
      </c>
      <c r="L74" s="7">
        <v>4747770</v>
      </c>
    </row>
    <row r="75" spans="1:12" x14ac:dyDescent="0.2">
      <c r="A75" s="2">
        <v>44927</v>
      </c>
      <c r="B75" s="5">
        <v>569847</v>
      </c>
      <c r="C75" s="6">
        <v>498349.09375</v>
      </c>
      <c r="D75" s="8">
        <v>607941.86377486004</v>
      </c>
      <c r="E75" s="8">
        <v>257889.64580500999</v>
      </c>
      <c r="F75" s="3">
        <v>518246.39248765999</v>
      </c>
      <c r="G75" s="5">
        <v>430107</v>
      </c>
      <c r="H75" s="8">
        <v>400747.93121981999</v>
      </c>
      <c r="I75" s="5">
        <v>136879600</v>
      </c>
      <c r="J75" s="9">
        <v>6179632.5</v>
      </c>
      <c r="K75" s="8">
        <v>587055.91666797001</v>
      </c>
      <c r="L75" s="7">
        <v>4900907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73C3-29BA-4F7B-9814-94424453F7D4}">
  <dimension ref="A1:L75"/>
  <sheetViews>
    <sheetView workbookViewId="0">
      <selection sqref="A1:XFD1"/>
    </sheetView>
  </sheetViews>
  <sheetFormatPr defaultRowHeight="12.75" x14ac:dyDescent="0.2"/>
  <cols>
    <col min="1" max="1" width="12.7109375" style="1" customWidth="1"/>
    <col min="2" max="2" width="14.5703125" style="1" bestFit="1" customWidth="1"/>
    <col min="3" max="3" width="17.7109375" style="1" customWidth="1"/>
    <col min="4" max="6" width="18.7109375" style="1" customWidth="1"/>
    <col min="7" max="7" width="11.7109375" style="1" customWidth="1"/>
    <col min="8" max="8" width="18.7109375" style="1" customWidth="1"/>
    <col min="9" max="9" width="13.7109375" style="1" customWidth="1"/>
    <col min="10" max="10" width="14.7109375" style="1" customWidth="1"/>
    <col min="11" max="11" width="18.7109375" style="1" customWidth="1"/>
    <col min="12" max="12" width="15.7109375" style="1" customWidth="1"/>
    <col min="13" max="256" width="8.7109375" style="1"/>
    <col min="257" max="257" width="12.7109375" style="1" customWidth="1"/>
    <col min="258" max="258" width="11.7109375" style="1" customWidth="1"/>
    <col min="259" max="259" width="17.7109375" style="1" customWidth="1"/>
    <col min="260" max="262" width="18.7109375" style="1" customWidth="1"/>
    <col min="263" max="263" width="11.7109375" style="1" customWidth="1"/>
    <col min="264" max="264" width="18.7109375" style="1" customWidth="1"/>
    <col min="265" max="265" width="13.7109375" style="1" customWidth="1"/>
    <col min="266" max="266" width="14.7109375" style="1" customWidth="1"/>
    <col min="267" max="267" width="18.7109375" style="1" customWidth="1"/>
    <col min="268" max="268" width="15.7109375" style="1" customWidth="1"/>
    <col min="269" max="512" width="8.7109375" style="1"/>
    <col min="513" max="513" width="12.7109375" style="1" customWidth="1"/>
    <col min="514" max="514" width="11.7109375" style="1" customWidth="1"/>
    <col min="515" max="515" width="17.7109375" style="1" customWidth="1"/>
    <col min="516" max="518" width="18.7109375" style="1" customWidth="1"/>
    <col min="519" max="519" width="11.7109375" style="1" customWidth="1"/>
    <col min="520" max="520" width="18.7109375" style="1" customWidth="1"/>
    <col min="521" max="521" width="13.7109375" style="1" customWidth="1"/>
    <col min="522" max="522" width="14.7109375" style="1" customWidth="1"/>
    <col min="523" max="523" width="18.7109375" style="1" customWidth="1"/>
    <col min="524" max="524" width="15.7109375" style="1" customWidth="1"/>
    <col min="525" max="768" width="8.7109375" style="1"/>
    <col min="769" max="769" width="12.7109375" style="1" customWidth="1"/>
    <col min="770" max="770" width="11.7109375" style="1" customWidth="1"/>
    <col min="771" max="771" width="17.7109375" style="1" customWidth="1"/>
    <col min="772" max="774" width="18.7109375" style="1" customWidth="1"/>
    <col min="775" max="775" width="11.7109375" style="1" customWidth="1"/>
    <col min="776" max="776" width="18.7109375" style="1" customWidth="1"/>
    <col min="777" max="777" width="13.7109375" style="1" customWidth="1"/>
    <col min="778" max="778" width="14.7109375" style="1" customWidth="1"/>
    <col min="779" max="779" width="18.7109375" style="1" customWidth="1"/>
    <col min="780" max="780" width="15.7109375" style="1" customWidth="1"/>
    <col min="781" max="1024" width="8.7109375" style="1"/>
    <col min="1025" max="1025" width="12.7109375" style="1" customWidth="1"/>
    <col min="1026" max="1026" width="11.7109375" style="1" customWidth="1"/>
    <col min="1027" max="1027" width="17.7109375" style="1" customWidth="1"/>
    <col min="1028" max="1030" width="18.7109375" style="1" customWidth="1"/>
    <col min="1031" max="1031" width="11.7109375" style="1" customWidth="1"/>
    <col min="1032" max="1032" width="18.7109375" style="1" customWidth="1"/>
    <col min="1033" max="1033" width="13.7109375" style="1" customWidth="1"/>
    <col min="1034" max="1034" width="14.7109375" style="1" customWidth="1"/>
    <col min="1035" max="1035" width="18.7109375" style="1" customWidth="1"/>
    <col min="1036" max="1036" width="15.7109375" style="1" customWidth="1"/>
    <col min="1037" max="1280" width="8.7109375" style="1"/>
    <col min="1281" max="1281" width="12.7109375" style="1" customWidth="1"/>
    <col min="1282" max="1282" width="11.7109375" style="1" customWidth="1"/>
    <col min="1283" max="1283" width="17.7109375" style="1" customWidth="1"/>
    <col min="1284" max="1286" width="18.7109375" style="1" customWidth="1"/>
    <col min="1287" max="1287" width="11.7109375" style="1" customWidth="1"/>
    <col min="1288" max="1288" width="18.7109375" style="1" customWidth="1"/>
    <col min="1289" max="1289" width="13.7109375" style="1" customWidth="1"/>
    <col min="1290" max="1290" width="14.7109375" style="1" customWidth="1"/>
    <col min="1291" max="1291" width="18.7109375" style="1" customWidth="1"/>
    <col min="1292" max="1292" width="15.7109375" style="1" customWidth="1"/>
    <col min="1293" max="1536" width="8.7109375" style="1"/>
    <col min="1537" max="1537" width="12.7109375" style="1" customWidth="1"/>
    <col min="1538" max="1538" width="11.7109375" style="1" customWidth="1"/>
    <col min="1539" max="1539" width="17.7109375" style="1" customWidth="1"/>
    <col min="1540" max="1542" width="18.7109375" style="1" customWidth="1"/>
    <col min="1543" max="1543" width="11.7109375" style="1" customWidth="1"/>
    <col min="1544" max="1544" width="18.7109375" style="1" customWidth="1"/>
    <col min="1545" max="1545" width="13.7109375" style="1" customWidth="1"/>
    <col min="1546" max="1546" width="14.7109375" style="1" customWidth="1"/>
    <col min="1547" max="1547" width="18.7109375" style="1" customWidth="1"/>
    <col min="1548" max="1548" width="15.7109375" style="1" customWidth="1"/>
    <col min="1549" max="1792" width="8.7109375" style="1"/>
    <col min="1793" max="1793" width="12.7109375" style="1" customWidth="1"/>
    <col min="1794" max="1794" width="11.7109375" style="1" customWidth="1"/>
    <col min="1795" max="1795" width="17.7109375" style="1" customWidth="1"/>
    <col min="1796" max="1798" width="18.7109375" style="1" customWidth="1"/>
    <col min="1799" max="1799" width="11.7109375" style="1" customWidth="1"/>
    <col min="1800" max="1800" width="18.7109375" style="1" customWidth="1"/>
    <col min="1801" max="1801" width="13.7109375" style="1" customWidth="1"/>
    <col min="1802" max="1802" width="14.7109375" style="1" customWidth="1"/>
    <col min="1803" max="1803" width="18.7109375" style="1" customWidth="1"/>
    <col min="1804" max="1804" width="15.7109375" style="1" customWidth="1"/>
    <col min="1805" max="2048" width="8.7109375" style="1"/>
    <col min="2049" max="2049" width="12.7109375" style="1" customWidth="1"/>
    <col min="2050" max="2050" width="11.7109375" style="1" customWidth="1"/>
    <col min="2051" max="2051" width="17.7109375" style="1" customWidth="1"/>
    <col min="2052" max="2054" width="18.7109375" style="1" customWidth="1"/>
    <col min="2055" max="2055" width="11.7109375" style="1" customWidth="1"/>
    <col min="2056" max="2056" width="18.7109375" style="1" customWidth="1"/>
    <col min="2057" max="2057" width="13.7109375" style="1" customWidth="1"/>
    <col min="2058" max="2058" width="14.7109375" style="1" customWidth="1"/>
    <col min="2059" max="2059" width="18.7109375" style="1" customWidth="1"/>
    <col min="2060" max="2060" width="15.7109375" style="1" customWidth="1"/>
    <col min="2061" max="2304" width="8.7109375" style="1"/>
    <col min="2305" max="2305" width="12.7109375" style="1" customWidth="1"/>
    <col min="2306" max="2306" width="11.7109375" style="1" customWidth="1"/>
    <col min="2307" max="2307" width="17.7109375" style="1" customWidth="1"/>
    <col min="2308" max="2310" width="18.7109375" style="1" customWidth="1"/>
    <col min="2311" max="2311" width="11.7109375" style="1" customWidth="1"/>
    <col min="2312" max="2312" width="18.7109375" style="1" customWidth="1"/>
    <col min="2313" max="2313" width="13.7109375" style="1" customWidth="1"/>
    <col min="2314" max="2314" width="14.7109375" style="1" customWidth="1"/>
    <col min="2315" max="2315" width="18.7109375" style="1" customWidth="1"/>
    <col min="2316" max="2316" width="15.7109375" style="1" customWidth="1"/>
    <col min="2317" max="2560" width="8.7109375" style="1"/>
    <col min="2561" max="2561" width="12.7109375" style="1" customWidth="1"/>
    <col min="2562" max="2562" width="11.7109375" style="1" customWidth="1"/>
    <col min="2563" max="2563" width="17.7109375" style="1" customWidth="1"/>
    <col min="2564" max="2566" width="18.7109375" style="1" customWidth="1"/>
    <col min="2567" max="2567" width="11.7109375" style="1" customWidth="1"/>
    <col min="2568" max="2568" width="18.7109375" style="1" customWidth="1"/>
    <col min="2569" max="2569" width="13.7109375" style="1" customWidth="1"/>
    <col min="2570" max="2570" width="14.7109375" style="1" customWidth="1"/>
    <col min="2571" max="2571" width="18.7109375" style="1" customWidth="1"/>
    <col min="2572" max="2572" width="15.7109375" style="1" customWidth="1"/>
    <col min="2573" max="2816" width="8.7109375" style="1"/>
    <col min="2817" max="2817" width="12.7109375" style="1" customWidth="1"/>
    <col min="2818" max="2818" width="11.7109375" style="1" customWidth="1"/>
    <col min="2819" max="2819" width="17.7109375" style="1" customWidth="1"/>
    <col min="2820" max="2822" width="18.7109375" style="1" customWidth="1"/>
    <col min="2823" max="2823" width="11.7109375" style="1" customWidth="1"/>
    <col min="2824" max="2824" width="18.7109375" style="1" customWidth="1"/>
    <col min="2825" max="2825" width="13.7109375" style="1" customWidth="1"/>
    <col min="2826" max="2826" width="14.7109375" style="1" customWidth="1"/>
    <col min="2827" max="2827" width="18.7109375" style="1" customWidth="1"/>
    <col min="2828" max="2828" width="15.7109375" style="1" customWidth="1"/>
    <col min="2829" max="3072" width="8.7109375" style="1"/>
    <col min="3073" max="3073" width="12.7109375" style="1" customWidth="1"/>
    <col min="3074" max="3074" width="11.7109375" style="1" customWidth="1"/>
    <col min="3075" max="3075" width="17.7109375" style="1" customWidth="1"/>
    <col min="3076" max="3078" width="18.7109375" style="1" customWidth="1"/>
    <col min="3079" max="3079" width="11.7109375" style="1" customWidth="1"/>
    <col min="3080" max="3080" width="18.7109375" style="1" customWidth="1"/>
    <col min="3081" max="3081" width="13.7109375" style="1" customWidth="1"/>
    <col min="3082" max="3082" width="14.7109375" style="1" customWidth="1"/>
    <col min="3083" max="3083" width="18.7109375" style="1" customWidth="1"/>
    <col min="3084" max="3084" width="15.7109375" style="1" customWidth="1"/>
    <col min="3085" max="3328" width="8.7109375" style="1"/>
    <col min="3329" max="3329" width="12.7109375" style="1" customWidth="1"/>
    <col min="3330" max="3330" width="11.7109375" style="1" customWidth="1"/>
    <col min="3331" max="3331" width="17.7109375" style="1" customWidth="1"/>
    <col min="3332" max="3334" width="18.7109375" style="1" customWidth="1"/>
    <col min="3335" max="3335" width="11.7109375" style="1" customWidth="1"/>
    <col min="3336" max="3336" width="18.7109375" style="1" customWidth="1"/>
    <col min="3337" max="3337" width="13.7109375" style="1" customWidth="1"/>
    <col min="3338" max="3338" width="14.7109375" style="1" customWidth="1"/>
    <col min="3339" max="3339" width="18.7109375" style="1" customWidth="1"/>
    <col min="3340" max="3340" width="15.7109375" style="1" customWidth="1"/>
    <col min="3341" max="3584" width="8.7109375" style="1"/>
    <col min="3585" max="3585" width="12.7109375" style="1" customWidth="1"/>
    <col min="3586" max="3586" width="11.7109375" style="1" customWidth="1"/>
    <col min="3587" max="3587" width="17.7109375" style="1" customWidth="1"/>
    <col min="3588" max="3590" width="18.7109375" style="1" customWidth="1"/>
    <col min="3591" max="3591" width="11.7109375" style="1" customWidth="1"/>
    <col min="3592" max="3592" width="18.7109375" style="1" customWidth="1"/>
    <col min="3593" max="3593" width="13.7109375" style="1" customWidth="1"/>
    <col min="3594" max="3594" width="14.7109375" style="1" customWidth="1"/>
    <col min="3595" max="3595" width="18.7109375" style="1" customWidth="1"/>
    <col min="3596" max="3596" width="15.7109375" style="1" customWidth="1"/>
    <col min="3597" max="3840" width="8.7109375" style="1"/>
    <col min="3841" max="3841" width="12.7109375" style="1" customWidth="1"/>
    <col min="3842" max="3842" width="11.7109375" style="1" customWidth="1"/>
    <col min="3843" max="3843" width="17.7109375" style="1" customWidth="1"/>
    <col min="3844" max="3846" width="18.7109375" style="1" customWidth="1"/>
    <col min="3847" max="3847" width="11.7109375" style="1" customWidth="1"/>
    <col min="3848" max="3848" width="18.7109375" style="1" customWidth="1"/>
    <col min="3849" max="3849" width="13.7109375" style="1" customWidth="1"/>
    <col min="3850" max="3850" width="14.7109375" style="1" customWidth="1"/>
    <col min="3851" max="3851" width="18.7109375" style="1" customWidth="1"/>
    <col min="3852" max="3852" width="15.7109375" style="1" customWidth="1"/>
    <col min="3853" max="4096" width="8.7109375" style="1"/>
    <col min="4097" max="4097" width="12.7109375" style="1" customWidth="1"/>
    <col min="4098" max="4098" width="11.7109375" style="1" customWidth="1"/>
    <col min="4099" max="4099" width="17.7109375" style="1" customWidth="1"/>
    <col min="4100" max="4102" width="18.7109375" style="1" customWidth="1"/>
    <col min="4103" max="4103" width="11.7109375" style="1" customWidth="1"/>
    <col min="4104" max="4104" width="18.7109375" style="1" customWidth="1"/>
    <col min="4105" max="4105" width="13.7109375" style="1" customWidth="1"/>
    <col min="4106" max="4106" width="14.7109375" style="1" customWidth="1"/>
    <col min="4107" max="4107" width="18.7109375" style="1" customWidth="1"/>
    <col min="4108" max="4108" width="15.7109375" style="1" customWidth="1"/>
    <col min="4109" max="4352" width="8.7109375" style="1"/>
    <col min="4353" max="4353" width="12.7109375" style="1" customWidth="1"/>
    <col min="4354" max="4354" width="11.7109375" style="1" customWidth="1"/>
    <col min="4355" max="4355" width="17.7109375" style="1" customWidth="1"/>
    <col min="4356" max="4358" width="18.7109375" style="1" customWidth="1"/>
    <col min="4359" max="4359" width="11.7109375" style="1" customWidth="1"/>
    <col min="4360" max="4360" width="18.7109375" style="1" customWidth="1"/>
    <col min="4361" max="4361" width="13.7109375" style="1" customWidth="1"/>
    <col min="4362" max="4362" width="14.7109375" style="1" customWidth="1"/>
    <col min="4363" max="4363" width="18.7109375" style="1" customWidth="1"/>
    <col min="4364" max="4364" width="15.7109375" style="1" customWidth="1"/>
    <col min="4365" max="4608" width="8.7109375" style="1"/>
    <col min="4609" max="4609" width="12.7109375" style="1" customWidth="1"/>
    <col min="4610" max="4610" width="11.7109375" style="1" customWidth="1"/>
    <col min="4611" max="4611" width="17.7109375" style="1" customWidth="1"/>
    <col min="4612" max="4614" width="18.7109375" style="1" customWidth="1"/>
    <col min="4615" max="4615" width="11.7109375" style="1" customWidth="1"/>
    <col min="4616" max="4616" width="18.7109375" style="1" customWidth="1"/>
    <col min="4617" max="4617" width="13.7109375" style="1" customWidth="1"/>
    <col min="4618" max="4618" width="14.7109375" style="1" customWidth="1"/>
    <col min="4619" max="4619" width="18.7109375" style="1" customWidth="1"/>
    <col min="4620" max="4620" width="15.7109375" style="1" customWidth="1"/>
    <col min="4621" max="4864" width="8.7109375" style="1"/>
    <col min="4865" max="4865" width="12.7109375" style="1" customWidth="1"/>
    <col min="4866" max="4866" width="11.7109375" style="1" customWidth="1"/>
    <col min="4867" max="4867" width="17.7109375" style="1" customWidth="1"/>
    <col min="4868" max="4870" width="18.7109375" style="1" customWidth="1"/>
    <col min="4871" max="4871" width="11.7109375" style="1" customWidth="1"/>
    <col min="4872" max="4872" width="18.7109375" style="1" customWidth="1"/>
    <col min="4873" max="4873" width="13.7109375" style="1" customWidth="1"/>
    <col min="4874" max="4874" width="14.7109375" style="1" customWidth="1"/>
    <col min="4875" max="4875" width="18.7109375" style="1" customWidth="1"/>
    <col min="4876" max="4876" width="15.7109375" style="1" customWidth="1"/>
    <col min="4877" max="5120" width="8.7109375" style="1"/>
    <col min="5121" max="5121" width="12.7109375" style="1" customWidth="1"/>
    <col min="5122" max="5122" width="11.7109375" style="1" customWidth="1"/>
    <col min="5123" max="5123" width="17.7109375" style="1" customWidth="1"/>
    <col min="5124" max="5126" width="18.7109375" style="1" customWidth="1"/>
    <col min="5127" max="5127" width="11.7109375" style="1" customWidth="1"/>
    <col min="5128" max="5128" width="18.7109375" style="1" customWidth="1"/>
    <col min="5129" max="5129" width="13.7109375" style="1" customWidth="1"/>
    <col min="5130" max="5130" width="14.7109375" style="1" customWidth="1"/>
    <col min="5131" max="5131" width="18.7109375" style="1" customWidth="1"/>
    <col min="5132" max="5132" width="15.7109375" style="1" customWidth="1"/>
    <col min="5133" max="5376" width="8.7109375" style="1"/>
    <col min="5377" max="5377" width="12.7109375" style="1" customWidth="1"/>
    <col min="5378" max="5378" width="11.7109375" style="1" customWidth="1"/>
    <col min="5379" max="5379" width="17.7109375" style="1" customWidth="1"/>
    <col min="5380" max="5382" width="18.7109375" style="1" customWidth="1"/>
    <col min="5383" max="5383" width="11.7109375" style="1" customWidth="1"/>
    <col min="5384" max="5384" width="18.7109375" style="1" customWidth="1"/>
    <col min="5385" max="5385" width="13.7109375" style="1" customWidth="1"/>
    <col min="5386" max="5386" width="14.7109375" style="1" customWidth="1"/>
    <col min="5387" max="5387" width="18.7109375" style="1" customWidth="1"/>
    <col min="5388" max="5388" width="15.7109375" style="1" customWidth="1"/>
    <col min="5389" max="5632" width="8.7109375" style="1"/>
    <col min="5633" max="5633" width="12.7109375" style="1" customWidth="1"/>
    <col min="5634" max="5634" width="11.7109375" style="1" customWidth="1"/>
    <col min="5635" max="5635" width="17.7109375" style="1" customWidth="1"/>
    <col min="5636" max="5638" width="18.7109375" style="1" customWidth="1"/>
    <col min="5639" max="5639" width="11.7109375" style="1" customWidth="1"/>
    <col min="5640" max="5640" width="18.7109375" style="1" customWidth="1"/>
    <col min="5641" max="5641" width="13.7109375" style="1" customWidth="1"/>
    <col min="5642" max="5642" width="14.7109375" style="1" customWidth="1"/>
    <col min="5643" max="5643" width="18.7109375" style="1" customWidth="1"/>
    <col min="5644" max="5644" width="15.7109375" style="1" customWidth="1"/>
    <col min="5645" max="5888" width="8.7109375" style="1"/>
    <col min="5889" max="5889" width="12.7109375" style="1" customWidth="1"/>
    <col min="5890" max="5890" width="11.7109375" style="1" customWidth="1"/>
    <col min="5891" max="5891" width="17.7109375" style="1" customWidth="1"/>
    <col min="5892" max="5894" width="18.7109375" style="1" customWidth="1"/>
    <col min="5895" max="5895" width="11.7109375" style="1" customWidth="1"/>
    <col min="5896" max="5896" width="18.7109375" style="1" customWidth="1"/>
    <col min="5897" max="5897" width="13.7109375" style="1" customWidth="1"/>
    <col min="5898" max="5898" width="14.7109375" style="1" customWidth="1"/>
    <col min="5899" max="5899" width="18.7109375" style="1" customWidth="1"/>
    <col min="5900" max="5900" width="15.7109375" style="1" customWidth="1"/>
    <col min="5901" max="6144" width="8.7109375" style="1"/>
    <col min="6145" max="6145" width="12.7109375" style="1" customWidth="1"/>
    <col min="6146" max="6146" width="11.7109375" style="1" customWidth="1"/>
    <col min="6147" max="6147" width="17.7109375" style="1" customWidth="1"/>
    <col min="6148" max="6150" width="18.7109375" style="1" customWidth="1"/>
    <col min="6151" max="6151" width="11.7109375" style="1" customWidth="1"/>
    <col min="6152" max="6152" width="18.7109375" style="1" customWidth="1"/>
    <col min="6153" max="6153" width="13.7109375" style="1" customWidth="1"/>
    <col min="6154" max="6154" width="14.7109375" style="1" customWidth="1"/>
    <col min="6155" max="6155" width="18.7109375" style="1" customWidth="1"/>
    <col min="6156" max="6156" width="15.7109375" style="1" customWidth="1"/>
    <col min="6157" max="6400" width="8.7109375" style="1"/>
    <col min="6401" max="6401" width="12.7109375" style="1" customWidth="1"/>
    <col min="6402" max="6402" width="11.7109375" style="1" customWidth="1"/>
    <col min="6403" max="6403" width="17.7109375" style="1" customWidth="1"/>
    <col min="6404" max="6406" width="18.7109375" style="1" customWidth="1"/>
    <col min="6407" max="6407" width="11.7109375" style="1" customWidth="1"/>
    <col min="6408" max="6408" width="18.7109375" style="1" customWidth="1"/>
    <col min="6409" max="6409" width="13.7109375" style="1" customWidth="1"/>
    <col min="6410" max="6410" width="14.7109375" style="1" customWidth="1"/>
    <col min="6411" max="6411" width="18.7109375" style="1" customWidth="1"/>
    <col min="6412" max="6412" width="15.7109375" style="1" customWidth="1"/>
    <col min="6413" max="6656" width="8.7109375" style="1"/>
    <col min="6657" max="6657" width="12.7109375" style="1" customWidth="1"/>
    <col min="6658" max="6658" width="11.7109375" style="1" customWidth="1"/>
    <col min="6659" max="6659" width="17.7109375" style="1" customWidth="1"/>
    <col min="6660" max="6662" width="18.7109375" style="1" customWidth="1"/>
    <col min="6663" max="6663" width="11.7109375" style="1" customWidth="1"/>
    <col min="6664" max="6664" width="18.7109375" style="1" customWidth="1"/>
    <col min="6665" max="6665" width="13.7109375" style="1" customWidth="1"/>
    <col min="6666" max="6666" width="14.7109375" style="1" customWidth="1"/>
    <col min="6667" max="6667" width="18.7109375" style="1" customWidth="1"/>
    <col min="6668" max="6668" width="15.7109375" style="1" customWidth="1"/>
    <col min="6669" max="6912" width="8.7109375" style="1"/>
    <col min="6913" max="6913" width="12.7109375" style="1" customWidth="1"/>
    <col min="6914" max="6914" width="11.7109375" style="1" customWidth="1"/>
    <col min="6915" max="6915" width="17.7109375" style="1" customWidth="1"/>
    <col min="6916" max="6918" width="18.7109375" style="1" customWidth="1"/>
    <col min="6919" max="6919" width="11.7109375" style="1" customWidth="1"/>
    <col min="6920" max="6920" width="18.7109375" style="1" customWidth="1"/>
    <col min="6921" max="6921" width="13.7109375" style="1" customWidth="1"/>
    <col min="6922" max="6922" width="14.7109375" style="1" customWidth="1"/>
    <col min="6923" max="6923" width="18.7109375" style="1" customWidth="1"/>
    <col min="6924" max="6924" width="15.7109375" style="1" customWidth="1"/>
    <col min="6925" max="7168" width="8.7109375" style="1"/>
    <col min="7169" max="7169" width="12.7109375" style="1" customWidth="1"/>
    <col min="7170" max="7170" width="11.7109375" style="1" customWidth="1"/>
    <col min="7171" max="7171" width="17.7109375" style="1" customWidth="1"/>
    <col min="7172" max="7174" width="18.7109375" style="1" customWidth="1"/>
    <col min="7175" max="7175" width="11.7109375" style="1" customWidth="1"/>
    <col min="7176" max="7176" width="18.7109375" style="1" customWidth="1"/>
    <col min="7177" max="7177" width="13.7109375" style="1" customWidth="1"/>
    <col min="7178" max="7178" width="14.7109375" style="1" customWidth="1"/>
    <col min="7179" max="7179" width="18.7109375" style="1" customWidth="1"/>
    <col min="7180" max="7180" width="15.7109375" style="1" customWidth="1"/>
    <col min="7181" max="7424" width="8.7109375" style="1"/>
    <col min="7425" max="7425" width="12.7109375" style="1" customWidth="1"/>
    <col min="7426" max="7426" width="11.7109375" style="1" customWidth="1"/>
    <col min="7427" max="7427" width="17.7109375" style="1" customWidth="1"/>
    <col min="7428" max="7430" width="18.7109375" style="1" customWidth="1"/>
    <col min="7431" max="7431" width="11.7109375" style="1" customWidth="1"/>
    <col min="7432" max="7432" width="18.7109375" style="1" customWidth="1"/>
    <col min="7433" max="7433" width="13.7109375" style="1" customWidth="1"/>
    <col min="7434" max="7434" width="14.7109375" style="1" customWidth="1"/>
    <col min="7435" max="7435" width="18.7109375" style="1" customWidth="1"/>
    <col min="7436" max="7436" width="15.7109375" style="1" customWidth="1"/>
    <col min="7437" max="7680" width="8.7109375" style="1"/>
    <col min="7681" max="7681" width="12.7109375" style="1" customWidth="1"/>
    <col min="7682" max="7682" width="11.7109375" style="1" customWidth="1"/>
    <col min="7683" max="7683" width="17.7109375" style="1" customWidth="1"/>
    <col min="7684" max="7686" width="18.7109375" style="1" customWidth="1"/>
    <col min="7687" max="7687" width="11.7109375" style="1" customWidth="1"/>
    <col min="7688" max="7688" width="18.7109375" style="1" customWidth="1"/>
    <col min="7689" max="7689" width="13.7109375" style="1" customWidth="1"/>
    <col min="7690" max="7690" width="14.7109375" style="1" customWidth="1"/>
    <col min="7691" max="7691" width="18.7109375" style="1" customWidth="1"/>
    <col min="7692" max="7692" width="15.7109375" style="1" customWidth="1"/>
    <col min="7693" max="7936" width="8.7109375" style="1"/>
    <col min="7937" max="7937" width="12.7109375" style="1" customWidth="1"/>
    <col min="7938" max="7938" width="11.7109375" style="1" customWidth="1"/>
    <col min="7939" max="7939" width="17.7109375" style="1" customWidth="1"/>
    <col min="7940" max="7942" width="18.7109375" style="1" customWidth="1"/>
    <col min="7943" max="7943" width="11.7109375" style="1" customWidth="1"/>
    <col min="7944" max="7944" width="18.7109375" style="1" customWidth="1"/>
    <col min="7945" max="7945" width="13.7109375" style="1" customWidth="1"/>
    <col min="7946" max="7946" width="14.7109375" style="1" customWidth="1"/>
    <col min="7947" max="7947" width="18.7109375" style="1" customWidth="1"/>
    <col min="7948" max="7948" width="15.7109375" style="1" customWidth="1"/>
    <col min="7949" max="8192" width="8.7109375" style="1"/>
    <col min="8193" max="8193" width="12.7109375" style="1" customWidth="1"/>
    <col min="8194" max="8194" width="11.7109375" style="1" customWidth="1"/>
    <col min="8195" max="8195" width="17.7109375" style="1" customWidth="1"/>
    <col min="8196" max="8198" width="18.7109375" style="1" customWidth="1"/>
    <col min="8199" max="8199" width="11.7109375" style="1" customWidth="1"/>
    <col min="8200" max="8200" width="18.7109375" style="1" customWidth="1"/>
    <col min="8201" max="8201" width="13.7109375" style="1" customWidth="1"/>
    <col min="8202" max="8202" width="14.7109375" style="1" customWidth="1"/>
    <col min="8203" max="8203" width="18.7109375" style="1" customWidth="1"/>
    <col min="8204" max="8204" width="15.7109375" style="1" customWidth="1"/>
    <col min="8205" max="8448" width="8.7109375" style="1"/>
    <col min="8449" max="8449" width="12.7109375" style="1" customWidth="1"/>
    <col min="8450" max="8450" width="11.7109375" style="1" customWidth="1"/>
    <col min="8451" max="8451" width="17.7109375" style="1" customWidth="1"/>
    <col min="8452" max="8454" width="18.7109375" style="1" customWidth="1"/>
    <col min="8455" max="8455" width="11.7109375" style="1" customWidth="1"/>
    <col min="8456" max="8456" width="18.7109375" style="1" customWidth="1"/>
    <col min="8457" max="8457" width="13.7109375" style="1" customWidth="1"/>
    <col min="8458" max="8458" width="14.7109375" style="1" customWidth="1"/>
    <col min="8459" max="8459" width="18.7109375" style="1" customWidth="1"/>
    <col min="8460" max="8460" width="15.7109375" style="1" customWidth="1"/>
    <col min="8461" max="8704" width="8.7109375" style="1"/>
    <col min="8705" max="8705" width="12.7109375" style="1" customWidth="1"/>
    <col min="8706" max="8706" width="11.7109375" style="1" customWidth="1"/>
    <col min="8707" max="8707" width="17.7109375" style="1" customWidth="1"/>
    <col min="8708" max="8710" width="18.7109375" style="1" customWidth="1"/>
    <col min="8711" max="8711" width="11.7109375" style="1" customWidth="1"/>
    <col min="8712" max="8712" width="18.7109375" style="1" customWidth="1"/>
    <col min="8713" max="8713" width="13.7109375" style="1" customWidth="1"/>
    <col min="8714" max="8714" width="14.7109375" style="1" customWidth="1"/>
    <col min="8715" max="8715" width="18.7109375" style="1" customWidth="1"/>
    <col min="8716" max="8716" width="15.7109375" style="1" customWidth="1"/>
    <col min="8717" max="8960" width="8.7109375" style="1"/>
    <col min="8961" max="8961" width="12.7109375" style="1" customWidth="1"/>
    <col min="8962" max="8962" width="11.7109375" style="1" customWidth="1"/>
    <col min="8963" max="8963" width="17.7109375" style="1" customWidth="1"/>
    <col min="8964" max="8966" width="18.7109375" style="1" customWidth="1"/>
    <col min="8967" max="8967" width="11.7109375" style="1" customWidth="1"/>
    <col min="8968" max="8968" width="18.7109375" style="1" customWidth="1"/>
    <col min="8969" max="8969" width="13.7109375" style="1" customWidth="1"/>
    <col min="8970" max="8970" width="14.7109375" style="1" customWidth="1"/>
    <col min="8971" max="8971" width="18.7109375" style="1" customWidth="1"/>
    <col min="8972" max="8972" width="15.7109375" style="1" customWidth="1"/>
    <col min="8973" max="9216" width="8.7109375" style="1"/>
    <col min="9217" max="9217" width="12.7109375" style="1" customWidth="1"/>
    <col min="9218" max="9218" width="11.7109375" style="1" customWidth="1"/>
    <col min="9219" max="9219" width="17.7109375" style="1" customWidth="1"/>
    <col min="9220" max="9222" width="18.7109375" style="1" customWidth="1"/>
    <col min="9223" max="9223" width="11.7109375" style="1" customWidth="1"/>
    <col min="9224" max="9224" width="18.7109375" style="1" customWidth="1"/>
    <col min="9225" max="9225" width="13.7109375" style="1" customWidth="1"/>
    <col min="9226" max="9226" width="14.7109375" style="1" customWidth="1"/>
    <col min="9227" max="9227" width="18.7109375" style="1" customWidth="1"/>
    <col min="9228" max="9228" width="15.7109375" style="1" customWidth="1"/>
    <col min="9229" max="9472" width="8.7109375" style="1"/>
    <col min="9473" max="9473" width="12.7109375" style="1" customWidth="1"/>
    <col min="9474" max="9474" width="11.7109375" style="1" customWidth="1"/>
    <col min="9475" max="9475" width="17.7109375" style="1" customWidth="1"/>
    <col min="9476" max="9478" width="18.7109375" style="1" customWidth="1"/>
    <col min="9479" max="9479" width="11.7109375" style="1" customWidth="1"/>
    <col min="9480" max="9480" width="18.7109375" style="1" customWidth="1"/>
    <col min="9481" max="9481" width="13.7109375" style="1" customWidth="1"/>
    <col min="9482" max="9482" width="14.7109375" style="1" customWidth="1"/>
    <col min="9483" max="9483" width="18.7109375" style="1" customWidth="1"/>
    <col min="9484" max="9484" width="15.7109375" style="1" customWidth="1"/>
    <col min="9485" max="9728" width="8.7109375" style="1"/>
    <col min="9729" max="9729" width="12.7109375" style="1" customWidth="1"/>
    <col min="9730" max="9730" width="11.7109375" style="1" customWidth="1"/>
    <col min="9731" max="9731" width="17.7109375" style="1" customWidth="1"/>
    <col min="9732" max="9734" width="18.7109375" style="1" customWidth="1"/>
    <col min="9735" max="9735" width="11.7109375" style="1" customWidth="1"/>
    <col min="9736" max="9736" width="18.7109375" style="1" customWidth="1"/>
    <col min="9737" max="9737" width="13.7109375" style="1" customWidth="1"/>
    <col min="9738" max="9738" width="14.7109375" style="1" customWidth="1"/>
    <col min="9739" max="9739" width="18.7109375" style="1" customWidth="1"/>
    <col min="9740" max="9740" width="15.7109375" style="1" customWidth="1"/>
    <col min="9741" max="9984" width="8.7109375" style="1"/>
    <col min="9985" max="9985" width="12.7109375" style="1" customWidth="1"/>
    <col min="9986" max="9986" width="11.7109375" style="1" customWidth="1"/>
    <col min="9987" max="9987" width="17.7109375" style="1" customWidth="1"/>
    <col min="9988" max="9990" width="18.7109375" style="1" customWidth="1"/>
    <col min="9991" max="9991" width="11.7109375" style="1" customWidth="1"/>
    <col min="9992" max="9992" width="18.7109375" style="1" customWidth="1"/>
    <col min="9993" max="9993" width="13.7109375" style="1" customWidth="1"/>
    <col min="9994" max="9994" width="14.7109375" style="1" customWidth="1"/>
    <col min="9995" max="9995" width="18.7109375" style="1" customWidth="1"/>
    <col min="9996" max="9996" width="15.7109375" style="1" customWidth="1"/>
    <col min="9997" max="10240" width="8.7109375" style="1"/>
    <col min="10241" max="10241" width="12.7109375" style="1" customWidth="1"/>
    <col min="10242" max="10242" width="11.7109375" style="1" customWidth="1"/>
    <col min="10243" max="10243" width="17.7109375" style="1" customWidth="1"/>
    <col min="10244" max="10246" width="18.7109375" style="1" customWidth="1"/>
    <col min="10247" max="10247" width="11.7109375" style="1" customWidth="1"/>
    <col min="10248" max="10248" width="18.7109375" style="1" customWidth="1"/>
    <col min="10249" max="10249" width="13.7109375" style="1" customWidth="1"/>
    <col min="10250" max="10250" width="14.7109375" style="1" customWidth="1"/>
    <col min="10251" max="10251" width="18.7109375" style="1" customWidth="1"/>
    <col min="10252" max="10252" width="15.7109375" style="1" customWidth="1"/>
    <col min="10253" max="10496" width="8.7109375" style="1"/>
    <col min="10497" max="10497" width="12.7109375" style="1" customWidth="1"/>
    <col min="10498" max="10498" width="11.7109375" style="1" customWidth="1"/>
    <col min="10499" max="10499" width="17.7109375" style="1" customWidth="1"/>
    <col min="10500" max="10502" width="18.7109375" style="1" customWidth="1"/>
    <col min="10503" max="10503" width="11.7109375" style="1" customWidth="1"/>
    <col min="10504" max="10504" width="18.7109375" style="1" customWidth="1"/>
    <col min="10505" max="10505" width="13.7109375" style="1" customWidth="1"/>
    <col min="10506" max="10506" width="14.7109375" style="1" customWidth="1"/>
    <col min="10507" max="10507" width="18.7109375" style="1" customWidth="1"/>
    <col min="10508" max="10508" width="15.7109375" style="1" customWidth="1"/>
    <col min="10509" max="10752" width="8.7109375" style="1"/>
    <col min="10753" max="10753" width="12.7109375" style="1" customWidth="1"/>
    <col min="10754" max="10754" width="11.7109375" style="1" customWidth="1"/>
    <col min="10755" max="10755" width="17.7109375" style="1" customWidth="1"/>
    <col min="10756" max="10758" width="18.7109375" style="1" customWidth="1"/>
    <col min="10759" max="10759" width="11.7109375" style="1" customWidth="1"/>
    <col min="10760" max="10760" width="18.7109375" style="1" customWidth="1"/>
    <col min="10761" max="10761" width="13.7109375" style="1" customWidth="1"/>
    <col min="10762" max="10762" width="14.7109375" style="1" customWidth="1"/>
    <col min="10763" max="10763" width="18.7109375" style="1" customWidth="1"/>
    <col min="10764" max="10764" width="15.7109375" style="1" customWidth="1"/>
    <col min="10765" max="11008" width="8.7109375" style="1"/>
    <col min="11009" max="11009" width="12.7109375" style="1" customWidth="1"/>
    <col min="11010" max="11010" width="11.7109375" style="1" customWidth="1"/>
    <col min="11011" max="11011" width="17.7109375" style="1" customWidth="1"/>
    <col min="11012" max="11014" width="18.7109375" style="1" customWidth="1"/>
    <col min="11015" max="11015" width="11.7109375" style="1" customWidth="1"/>
    <col min="11016" max="11016" width="18.7109375" style="1" customWidth="1"/>
    <col min="11017" max="11017" width="13.7109375" style="1" customWidth="1"/>
    <col min="11018" max="11018" width="14.7109375" style="1" customWidth="1"/>
    <col min="11019" max="11019" width="18.7109375" style="1" customWidth="1"/>
    <col min="11020" max="11020" width="15.7109375" style="1" customWidth="1"/>
    <col min="11021" max="11264" width="8.7109375" style="1"/>
    <col min="11265" max="11265" width="12.7109375" style="1" customWidth="1"/>
    <col min="11266" max="11266" width="11.7109375" style="1" customWidth="1"/>
    <col min="11267" max="11267" width="17.7109375" style="1" customWidth="1"/>
    <col min="11268" max="11270" width="18.7109375" style="1" customWidth="1"/>
    <col min="11271" max="11271" width="11.7109375" style="1" customWidth="1"/>
    <col min="11272" max="11272" width="18.7109375" style="1" customWidth="1"/>
    <col min="11273" max="11273" width="13.7109375" style="1" customWidth="1"/>
    <col min="11274" max="11274" width="14.7109375" style="1" customWidth="1"/>
    <col min="11275" max="11275" width="18.7109375" style="1" customWidth="1"/>
    <col min="11276" max="11276" width="15.7109375" style="1" customWidth="1"/>
    <col min="11277" max="11520" width="8.7109375" style="1"/>
    <col min="11521" max="11521" width="12.7109375" style="1" customWidth="1"/>
    <col min="11522" max="11522" width="11.7109375" style="1" customWidth="1"/>
    <col min="11523" max="11523" width="17.7109375" style="1" customWidth="1"/>
    <col min="11524" max="11526" width="18.7109375" style="1" customWidth="1"/>
    <col min="11527" max="11527" width="11.7109375" style="1" customWidth="1"/>
    <col min="11528" max="11528" width="18.7109375" style="1" customWidth="1"/>
    <col min="11529" max="11529" width="13.7109375" style="1" customWidth="1"/>
    <col min="11530" max="11530" width="14.7109375" style="1" customWidth="1"/>
    <col min="11531" max="11531" width="18.7109375" style="1" customWidth="1"/>
    <col min="11532" max="11532" width="15.7109375" style="1" customWidth="1"/>
    <col min="11533" max="11776" width="8.7109375" style="1"/>
    <col min="11777" max="11777" width="12.7109375" style="1" customWidth="1"/>
    <col min="11778" max="11778" width="11.7109375" style="1" customWidth="1"/>
    <col min="11779" max="11779" width="17.7109375" style="1" customWidth="1"/>
    <col min="11780" max="11782" width="18.7109375" style="1" customWidth="1"/>
    <col min="11783" max="11783" width="11.7109375" style="1" customWidth="1"/>
    <col min="11784" max="11784" width="18.7109375" style="1" customWidth="1"/>
    <col min="11785" max="11785" width="13.7109375" style="1" customWidth="1"/>
    <col min="11786" max="11786" width="14.7109375" style="1" customWidth="1"/>
    <col min="11787" max="11787" width="18.7109375" style="1" customWidth="1"/>
    <col min="11788" max="11788" width="15.7109375" style="1" customWidth="1"/>
    <col min="11789" max="12032" width="8.7109375" style="1"/>
    <col min="12033" max="12033" width="12.7109375" style="1" customWidth="1"/>
    <col min="12034" max="12034" width="11.7109375" style="1" customWidth="1"/>
    <col min="12035" max="12035" width="17.7109375" style="1" customWidth="1"/>
    <col min="12036" max="12038" width="18.7109375" style="1" customWidth="1"/>
    <col min="12039" max="12039" width="11.7109375" style="1" customWidth="1"/>
    <col min="12040" max="12040" width="18.7109375" style="1" customWidth="1"/>
    <col min="12041" max="12041" width="13.7109375" style="1" customWidth="1"/>
    <col min="12042" max="12042" width="14.7109375" style="1" customWidth="1"/>
    <col min="12043" max="12043" width="18.7109375" style="1" customWidth="1"/>
    <col min="12044" max="12044" width="15.7109375" style="1" customWidth="1"/>
    <col min="12045" max="12288" width="8.7109375" style="1"/>
    <col min="12289" max="12289" width="12.7109375" style="1" customWidth="1"/>
    <col min="12290" max="12290" width="11.7109375" style="1" customWidth="1"/>
    <col min="12291" max="12291" width="17.7109375" style="1" customWidth="1"/>
    <col min="12292" max="12294" width="18.7109375" style="1" customWidth="1"/>
    <col min="12295" max="12295" width="11.7109375" style="1" customWidth="1"/>
    <col min="12296" max="12296" width="18.7109375" style="1" customWidth="1"/>
    <col min="12297" max="12297" width="13.7109375" style="1" customWidth="1"/>
    <col min="12298" max="12298" width="14.7109375" style="1" customWidth="1"/>
    <col min="12299" max="12299" width="18.7109375" style="1" customWidth="1"/>
    <col min="12300" max="12300" width="15.7109375" style="1" customWidth="1"/>
    <col min="12301" max="12544" width="8.7109375" style="1"/>
    <col min="12545" max="12545" width="12.7109375" style="1" customWidth="1"/>
    <col min="12546" max="12546" width="11.7109375" style="1" customWidth="1"/>
    <col min="12547" max="12547" width="17.7109375" style="1" customWidth="1"/>
    <col min="12548" max="12550" width="18.7109375" style="1" customWidth="1"/>
    <col min="12551" max="12551" width="11.7109375" style="1" customWidth="1"/>
    <col min="12552" max="12552" width="18.7109375" style="1" customWidth="1"/>
    <col min="12553" max="12553" width="13.7109375" style="1" customWidth="1"/>
    <col min="12554" max="12554" width="14.7109375" style="1" customWidth="1"/>
    <col min="12555" max="12555" width="18.7109375" style="1" customWidth="1"/>
    <col min="12556" max="12556" width="15.7109375" style="1" customWidth="1"/>
    <col min="12557" max="12800" width="8.7109375" style="1"/>
    <col min="12801" max="12801" width="12.7109375" style="1" customWidth="1"/>
    <col min="12802" max="12802" width="11.7109375" style="1" customWidth="1"/>
    <col min="12803" max="12803" width="17.7109375" style="1" customWidth="1"/>
    <col min="12804" max="12806" width="18.7109375" style="1" customWidth="1"/>
    <col min="12807" max="12807" width="11.7109375" style="1" customWidth="1"/>
    <col min="12808" max="12808" width="18.7109375" style="1" customWidth="1"/>
    <col min="12809" max="12809" width="13.7109375" style="1" customWidth="1"/>
    <col min="12810" max="12810" width="14.7109375" style="1" customWidth="1"/>
    <col min="12811" max="12811" width="18.7109375" style="1" customWidth="1"/>
    <col min="12812" max="12812" width="15.7109375" style="1" customWidth="1"/>
    <col min="12813" max="13056" width="8.7109375" style="1"/>
    <col min="13057" max="13057" width="12.7109375" style="1" customWidth="1"/>
    <col min="13058" max="13058" width="11.7109375" style="1" customWidth="1"/>
    <col min="13059" max="13059" width="17.7109375" style="1" customWidth="1"/>
    <col min="13060" max="13062" width="18.7109375" style="1" customWidth="1"/>
    <col min="13063" max="13063" width="11.7109375" style="1" customWidth="1"/>
    <col min="13064" max="13064" width="18.7109375" style="1" customWidth="1"/>
    <col min="13065" max="13065" width="13.7109375" style="1" customWidth="1"/>
    <col min="13066" max="13066" width="14.7109375" style="1" customWidth="1"/>
    <col min="13067" max="13067" width="18.7109375" style="1" customWidth="1"/>
    <col min="13068" max="13068" width="15.7109375" style="1" customWidth="1"/>
    <col min="13069" max="13312" width="8.7109375" style="1"/>
    <col min="13313" max="13313" width="12.7109375" style="1" customWidth="1"/>
    <col min="13314" max="13314" width="11.7109375" style="1" customWidth="1"/>
    <col min="13315" max="13315" width="17.7109375" style="1" customWidth="1"/>
    <col min="13316" max="13318" width="18.7109375" style="1" customWidth="1"/>
    <col min="13319" max="13319" width="11.7109375" style="1" customWidth="1"/>
    <col min="13320" max="13320" width="18.7109375" style="1" customWidth="1"/>
    <col min="13321" max="13321" width="13.7109375" style="1" customWidth="1"/>
    <col min="13322" max="13322" width="14.7109375" style="1" customWidth="1"/>
    <col min="13323" max="13323" width="18.7109375" style="1" customWidth="1"/>
    <col min="13324" max="13324" width="15.7109375" style="1" customWidth="1"/>
    <col min="13325" max="13568" width="8.7109375" style="1"/>
    <col min="13569" max="13569" width="12.7109375" style="1" customWidth="1"/>
    <col min="13570" max="13570" width="11.7109375" style="1" customWidth="1"/>
    <col min="13571" max="13571" width="17.7109375" style="1" customWidth="1"/>
    <col min="13572" max="13574" width="18.7109375" style="1" customWidth="1"/>
    <col min="13575" max="13575" width="11.7109375" style="1" customWidth="1"/>
    <col min="13576" max="13576" width="18.7109375" style="1" customWidth="1"/>
    <col min="13577" max="13577" width="13.7109375" style="1" customWidth="1"/>
    <col min="13578" max="13578" width="14.7109375" style="1" customWidth="1"/>
    <col min="13579" max="13579" width="18.7109375" style="1" customWidth="1"/>
    <col min="13580" max="13580" width="15.7109375" style="1" customWidth="1"/>
    <col min="13581" max="13824" width="8.7109375" style="1"/>
    <col min="13825" max="13825" width="12.7109375" style="1" customWidth="1"/>
    <col min="13826" max="13826" width="11.7109375" style="1" customWidth="1"/>
    <col min="13827" max="13827" width="17.7109375" style="1" customWidth="1"/>
    <col min="13828" max="13830" width="18.7109375" style="1" customWidth="1"/>
    <col min="13831" max="13831" width="11.7109375" style="1" customWidth="1"/>
    <col min="13832" max="13832" width="18.7109375" style="1" customWidth="1"/>
    <col min="13833" max="13833" width="13.7109375" style="1" customWidth="1"/>
    <col min="13834" max="13834" width="14.7109375" style="1" customWidth="1"/>
    <col min="13835" max="13835" width="18.7109375" style="1" customWidth="1"/>
    <col min="13836" max="13836" width="15.7109375" style="1" customWidth="1"/>
    <col min="13837" max="14080" width="8.7109375" style="1"/>
    <col min="14081" max="14081" width="12.7109375" style="1" customWidth="1"/>
    <col min="14082" max="14082" width="11.7109375" style="1" customWidth="1"/>
    <col min="14083" max="14083" width="17.7109375" style="1" customWidth="1"/>
    <col min="14084" max="14086" width="18.7109375" style="1" customWidth="1"/>
    <col min="14087" max="14087" width="11.7109375" style="1" customWidth="1"/>
    <col min="14088" max="14088" width="18.7109375" style="1" customWidth="1"/>
    <col min="14089" max="14089" width="13.7109375" style="1" customWidth="1"/>
    <col min="14090" max="14090" width="14.7109375" style="1" customWidth="1"/>
    <col min="14091" max="14091" width="18.7109375" style="1" customWidth="1"/>
    <col min="14092" max="14092" width="15.7109375" style="1" customWidth="1"/>
    <col min="14093" max="14336" width="8.7109375" style="1"/>
    <col min="14337" max="14337" width="12.7109375" style="1" customWidth="1"/>
    <col min="14338" max="14338" width="11.7109375" style="1" customWidth="1"/>
    <col min="14339" max="14339" width="17.7109375" style="1" customWidth="1"/>
    <col min="14340" max="14342" width="18.7109375" style="1" customWidth="1"/>
    <col min="14343" max="14343" width="11.7109375" style="1" customWidth="1"/>
    <col min="14344" max="14344" width="18.7109375" style="1" customWidth="1"/>
    <col min="14345" max="14345" width="13.7109375" style="1" customWidth="1"/>
    <col min="14346" max="14346" width="14.7109375" style="1" customWidth="1"/>
    <col min="14347" max="14347" width="18.7109375" style="1" customWidth="1"/>
    <col min="14348" max="14348" width="15.7109375" style="1" customWidth="1"/>
    <col min="14349" max="14592" width="8.7109375" style="1"/>
    <col min="14593" max="14593" width="12.7109375" style="1" customWidth="1"/>
    <col min="14594" max="14594" width="11.7109375" style="1" customWidth="1"/>
    <col min="14595" max="14595" width="17.7109375" style="1" customWidth="1"/>
    <col min="14596" max="14598" width="18.7109375" style="1" customWidth="1"/>
    <col min="14599" max="14599" width="11.7109375" style="1" customWidth="1"/>
    <col min="14600" max="14600" width="18.7109375" style="1" customWidth="1"/>
    <col min="14601" max="14601" width="13.7109375" style="1" customWidth="1"/>
    <col min="14602" max="14602" width="14.7109375" style="1" customWidth="1"/>
    <col min="14603" max="14603" width="18.7109375" style="1" customWidth="1"/>
    <col min="14604" max="14604" width="15.7109375" style="1" customWidth="1"/>
    <col min="14605" max="14848" width="8.7109375" style="1"/>
    <col min="14849" max="14849" width="12.7109375" style="1" customWidth="1"/>
    <col min="14850" max="14850" width="11.7109375" style="1" customWidth="1"/>
    <col min="14851" max="14851" width="17.7109375" style="1" customWidth="1"/>
    <col min="14852" max="14854" width="18.7109375" style="1" customWidth="1"/>
    <col min="14855" max="14855" width="11.7109375" style="1" customWidth="1"/>
    <col min="14856" max="14856" width="18.7109375" style="1" customWidth="1"/>
    <col min="14857" max="14857" width="13.7109375" style="1" customWidth="1"/>
    <col min="14858" max="14858" width="14.7109375" style="1" customWidth="1"/>
    <col min="14859" max="14859" width="18.7109375" style="1" customWidth="1"/>
    <col min="14860" max="14860" width="15.7109375" style="1" customWidth="1"/>
    <col min="14861" max="15104" width="8.7109375" style="1"/>
    <col min="15105" max="15105" width="12.7109375" style="1" customWidth="1"/>
    <col min="15106" max="15106" width="11.7109375" style="1" customWidth="1"/>
    <col min="15107" max="15107" width="17.7109375" style="1" customWidth="1"/>
    <col min="15108" max="15110" width="18.7109375" style="1" customWidth="1"/>
    <col min="15111" max="15111" width="11.7109375" style="1" customWidth="1"/>
    <col min="15112" max="15112" width="18.7109375" style="1" customWidth="1"/>
    <col min="15113" max="15113" width="13.7109375" style="1" customWidth="1"/>
    <col min="15114" max="15114" width="14.7109375" style="1" customWidth="1"/>
    <col min="15115" max="15115" width="18.7109375" style="1" customWidth="1"/>
    <col min="15116" max="15116" width="15.7109375" style="1" customWidth="1"/>
    <col min="15117" max="15360" width="8.7109375" style="1"/>
    <col min="15361" max="15361" width="12.7109375" style="1" customWidth="1"/>
    <col min="15362" max="15362" width="11.7109375" style="1" customWidth="1"/>
    <col min="15363" max="15363" width="17.7109375" style="1" customWidth="1"/>
    <col min="15364" max="15366" width="18.7109375" style="1" customWidth="1"/>
    <col min="15367" max="15367" width="11.7109375" style="1" customWidth="1"/>
    <col min="15368" max="15368" width="18.7109375" style="1" customWidth="1"/>
    <col min="15369" max="15369" width="13.7109375" style="1" customWidth="1"/>
    <col min="15370" max="15370" width="14.7109375" style="1" customWidth="1"/>
    <col min="15371" max="15371" width="18.7109375" style="1" customWidth="1"/>
    <col min="15372" max="15372" width="15.7109375" style="1" customWidth="1"/>
    <col min="15373" max="15616" width="8.7109375" style="1"/>
    <col min="15617" max="15617" width="12.7109375" style="1" customWidth="1"/>
    <col min="15618" max="15618" width="11.7109375" style="1" customWidth="1"/>
    <col min="15619" max="15619" width="17.7109375" style="1" customWidth="1"/>
    <col min="15620" max="15622" width="18.7109375" style="1" customWidth="1"/>
    <col min="15623" max="15623" width="11.7109375" style="1" customWidth="1"/>
    <col min="15624" max="15624" width="18.7109375" style="1" customWidth="1"/>
    <col min="15625" max="15625" width="13.7109375" style="1" customWidth="1"/>
    <col min="15626" max="15626" width="14.7109375" style="1" customWidth="1"/>
    <col min="15627" max="15627" width="18.7109375" style="1" customWidth="1"/>
    <col min="15628" max="15628" width="15.7109375" style="1" customWidth="1"/>
    <col min="15629" max="15872" width="8.7109375" style="1"/>
    <col min="15873" max="15873" width="12.7109375" style="1" customWidth="1"/>
    <col min="15874" max="15874" width="11.7109375" style="1" customWidth="1"/>
    <col min="15875" max="15875" width="17.7109375" style="1" customWidth="1"/>
    <col min="15876" max="15878" width="18.7109375" style="1" customWidth="1"/>
    <col min="15879" max="15879" width="11.7109375" style="1" customWidth="1"/>
    <col min="15880" max="15880" width="18.7109375" style="1" customWidth="1"/>
    <col min="15881" max="15881" width="13.7109375" style="1" customWidth="1"/>
    <col min="15882" max="15882" width="14.7109375" style="1" customWidth="1"/>
    <col min="15883" max="15883" width="18.7109375" style="1" customWidth="1"/>
    <col min="15884" max="15884" width="15.7109375" style="1" customWidth="1"/>
    <col min="15885" max="16128" width="8.7109375" style="1"/>
    <col min="16129" max="16129" width="12.7109375" style="1" customWidth="1"/>
    <col min="16130" max="16130" width="11.7109375" style="1" customWidth="1"/>
    <col min="16131" max="16131" width="17.7109375" style="1" customWidth="1"/>
    <col min="16132" max="16134" width="18.7109375" style="1" customWidth="1"/>
    <col min="16135" max="16135" width="11.7109375" style="1" customWidth="1"/>
    <col min="16136" max="16136" width="18.7109375" style="1" customWidth="1"/>
    <col min="16137" max="16137" width="13.7109375" style="1" customWidth="1"/>
    <col min="16138" max="16138" width="14.7109375" style="1" customWidth="1"/>
    <col min="16139" max="16139" width="18.7109375" style="1" customWidth="1"/>
    <col min="16140" max="16140" width="15.7109375" style="1" customWidth="1"/>
    <col min="16141" max="16384" width="8.7109375" style="1"/>
  </cols>
  <sheetData>
    <row r="1" spans="1:12" x14ac:dyDescent="0.2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 x14ac:dyDescent="0.2">
      <c r="A2" s="2">
        <v>18264</v>
      </c>
      <c r="F2" s="8">
        <v>277736.35986187001</v>
      </c>
      <c r="L2" s="9">
        <v>2458531.8125</v>
      </c>
    </row>
    <row r="3" spans="1:12" x14ac:dyDescent="0.2">
      <c r="A3" s="2">
        <v>18629</v>
      </c>
      <c r="F3" s="8">
        <v>293445.01330763003</v>
      </c>
      <c r="L3" s="9">
        <v>2656320.125</v>
      </c>
    </row>
    <row r="4" spans="1:12" x14ac:dyDescent="0.2">
      <c r="A4" s="2">
        <v>18994</v>
      </c>
      <c r="F4" s="8">
        <v>302637.51785765</v>
      </c>
      <c r="L4" s="9">
        <v>2764803.125</v>
      </c>
    </row>
    <row r="5" spans="1:12" x14ac:dyDescent="0.2">
      <c r="A5" s="2">
        <v>19360</v>
      </c>
      <c r="F5" s="8">
        <v>312822.76258826</v>
      </c>
      <c r="L5" s="9">
        <v>2894411.9375</v>
      </c>
    </row>
    <row r="6" spans="1:12" x14ac:dyDescent="0.2">
      <c r="A6" s="2">
        <v>19725</v>
      </c>
      <c r="F6" s="8">
        <v>330661.53998712002</v>
      </c>
      <c r="L6" s="9">
        <v>2877707.8125</v>
      </c>
    </row>
    <row r="7" spans="1:12" x14ac:dyDescent="0.2">
      <c r="A7" s="2">
        <v>20090</v>
      </c>
      <c r="F7" s="8">
        <v>348440.12408997002</v>
      </c>
      <c r="L7" s="9">
        <v>3083025.8125</v>
      </c>
    </row>
    <row r="8" spans="1:12" x14ac:dyDescent="0.2">
      <c r="A8" s="2">
        <v>20455</v>
      </c>
      <c r="F8" s="8">
        <v>366030.04263813002</v>
      </c>
      <c r="L8" s="9">
        <v>3148765</v>
      </c>
    </row>
    <row r="9" spans="1:12" x14ac:dyDescent="0.2">
      <c r="A9" s="2">
        <v>20821</v>
      </c>
      <c r="F9" s="8">
        <v>386596.38491326</v>
      </c>
      <c r="L9" s="9">
        <v>3215065.3125</v>
      </c>
    </row>
    <row r="10" spans="1:12" x14ac:dyDescent="0.2">
      <c r="A10" s="2">
        <v>21186</v>
      </c>
      <c r="F10" s="8">
        <v>397336.84541906998</v>
      </c>
      <c r="L10" s="9">
        <v>3191216</v>
      </c>
    </row>
    <row r="11" spans="1:12" x14ac:dyDescent="0.2">
      <c r="A11" s="2">
        <v>21551</v>
      </c>
      <c r="F11" s="8">
        <v>408341.43770144001</v>
      </c>
      <c r="L11" s="9">
        <v>3412421.4375</v>
      </c>
    </row>
    <row r="12" spans="1:12" x14ac:dyDescent="0.2">
      <c r="A12" s="2">
        <v>21916</v>
      </c>
      <c r="B12" s="5">
        <v>307028</v>
      </c>
      <c r="F12" s="8">
        <v>440823.35736581997</v>
      </c>
      <c r="L12" s="9">
        <v>3500272.625</v>
      </c>
    </row>
    <row r="13" spans="1:12" x14ac:dyDescent="0.2">
      <c r="A13" s="2">
        <v>22282</v>
      </c>
      <c r="B13" s="5">
        <v>307100</v>
      </c>
      <c r="C13" s="10">
        <v>376674.296875</v>
      </c>
      <c r="F13" s="8">
        <v>462627.70504261</v>
      </c>
      <c r="L13" s="9">
        <v>3590066.4375</v>
      </c>
    </row>
    <row r="14" spans="1:12" x14ac:dyDescent="0.2">
      <c r="A14" s="2">
        <v>22647</v>
      </c>
      <c r="B14" s="5">
        <v>323890</v>
      </c>
      <c r="C14" s="10">
        <v>404653.09375</v>
      </c>
      <c r="F14" s="8">
        <v>494346.87682164001</v>
      </c>
      <c r="L14" s="9">
        <v>3810123.4375</v>
      </c>
    </row>
    <row r="15" spans="1:12" x14ac:dyDescent="0.2">
      <c r="A15" s="2">
        <v>23012</v>
      </c>
      <c r="B15" s="5">
        <v>343801</v>
      </c>
      <c r="C15" s="10">
        <v>426089.296875</v>
      </c>
      <c r="F15" s="8">
        <v>524518.99105227005</v>
      </c>
      <c r="L15" s="9">
        <v>3976141.9375</v>
      </c>
    </row>
    <row r="16" spans="1:12" x14ac:dyDescent="0.2">
      <c r="A16" s="2">
        <v>23377</v>
      </c>
      <c r="B16" s="5">
        <v>365113</v>
      </c>
      <c r="C16" s="10">
        <v>454449.890625</v>
      </c>
      <c r="F16" s="8">
        <v>559046.58437385003</v>
      </c>
      <c r="L16" s="9">
        <v>4205277.3125</v>
      </c>
    </row>
    <row r="17" spans="1:12" x14ac:dyDescent="0.2">
      <c r="A17" s="2">
        <v>23743</v>
      </c>
      <c r="B17" s="5">
        <v>383427</v>
      </c>
      <c r="C17" s="10">
        <v>483158.296875</v>
      </c>
      <c r="F17" s="8">
        <v>586097.63128560001</v>
      </c>
      <c r="L17" s="9">
        <v>4478555.25</v>
      </c>
    </row>
    <row r="18" spans="1:12" x14ac:dyDescent="0.2">
      <c r="A18" s="2">
        <v>24108</v>
      </c>
      <c r="B18" s="5">
        <v>394660</v>
      </c>
      <c r="C18" s="10">
        <v>515818.296875</v>
      </c>
      <c r="F18" s="8">
        <v>616360.48466395994</v>
      </c>
      <c r="L18" s="9">
        <v>4773931.25</v>
      </c>
    </row>
    <row r="19" spans="1:12" x14ac:dyDescent="0.2">
      <c r="A19" s="2">
        <v>24473</v>
      </c>
      <c r="B19" s="5">
        <v>423046</v>
      </c>
      <c r="C19" s="10">
        <v>531630.390625</v>
      </c>
      <c r="F19" s="8">
        <v>645956.71974911005</v>
      </c>
      <c r="L19" s="9">
        <v>4904863.75</v>
      </c>
    </row>
    <row r="20" spans="1:12" x14ac:dyDescent="0.2">
      <c r="A20" s="2">
        <v>24838</v>
      </c>
      <c r="B20" s="5">
        <v>445622</v>
      </c>
      <c r="C20" s="10">
        <v>558255.890625</v>
      </c>
      <c r="F20" s="8">
        <v>675309.48642799002</v>
      </c>
      <c r="L20" s="9">
        <v>5145914.25</v>
      </c>
    </row>
    <row r="21" spans="1:12" x14ac:dyDescent="0.2">
      <c r="A21" s="2">
        <v>25204</v>
      </c>
      <c r="B21" s="5">
        <v>473317</v>
      </c>
      <c r="C21" s="10">
        <v>586542.890625</v>
      </c>
      <c r="F21" s="8">
        <v>723213.46757650003</v>
      </c>
      <c r="L21" s="9">
        <v>5306594.5</v>
      </c>
    </row>
    <row r="22" spans="1:12" x14ac:dyDescent="0.2">
      <c r="A22" s="2">
        <v>25569</v>
      </c>
      <c r="B22" s="5">
        <v>506241</v>
      </c>
      <c r="C22" s="10">
        <v>603662.296875</v>
      </c>
      <c r="F22" s="8">
        <v>768053.87947994005</v>
      </c>
      <c r="L22" s="9">
        <v>5316391.25</v>
      </c>
    </row>
    <row r="23" spans="1:12" x14ac:dyDescent="0.2">
      <c r="A23" s="2">
        <v>25934</v>
      </c>
      <c r="B23" s="5">
        <v>525906</v>
      </c>
      <c r="C23" s="10">
        <v>627922.59375</v>
      </c>
      <c r="F23" s="8">
        <v>808710.40810646</v>
      </c>
      <c r="L23" s="9">
        <v>5491445.5</v>
      </c>
    </row>
    <row r="24" spans="1:12" x14ac:dyDescent="0.2">
      <c r="A24" s="2">
        <v>26299</v>
      </c>
      <c r="B24" s="5">
        <v>537888</v>
      </c>
      <c r="C24" s="10">
        <v>662581.796875</v>
      </c>
      <c r="F24" s="8">
        <v>845216.29452998994</v>
      </c>
      <c r="L24" s="9">
        <v>5780048.25</v>
      </c>
    </row>
    <row r="25" spans="1:12" x14ac:dyDescent="0.2">
      <c r="A25" s="2">
        <v>26665</v>
      </c>
      <c r="B25" s="5">
        <v>561345</v>
      </c>
      <c r="C25" s="10">
        <v>707164.59375</v>
      </c>
      <c r="F25" s="8">
        <v>897574.57958379004</v>
      </c>
      <c r="L25" s="9">
        <v>6106370.5</v>
      </c>
    </row>
    <row r="26" spans="1:12" x14ac:dyDescent="0.2">
      <c r="A26" s="2">
        <v>27030</v>
      </c>
      <c r="B26" s="5">
        <v>570405</v>
      </c>
      <c r="C26" s="10">
        <v>730909.59375</v>
      </c>
      <c r="F26" s="8">
        <v>937199.73651138996</v>
      </c>
      <c r="L26" s="9">
        <v>6073362.75</v>
      </c>
    </row>
    <row r="27" spans="1:12" x14ac:dyDescent="0.2">
      <c r="A27" s="2">
        <v>27395</v>
      </c>
      <c r="B27" s="5">
        <v>584536</v>
      </c>
      <c r="C27" s="10">
        <v>742205.09375</v>
      </c>
      <c r="F27" s="8">
        <v>928337.84588576003</v>
      </c>
      <c r="L27" s="9">
        <v>6060875.25</v>
      </c>
    </row>
    <row r="28" spans="1:12" x14ac:dyDescent="0.2">
      <c r="A28" s="2">
        <v>27760</v>
      </c>
      <c r="B28" s="5">
        <v>606969</v>
      </c>
      <c r="C28" s="10">
        <v>785915.59375</v>
      </c>
      <c r="F28" s="8">
        <v>968604.46569928003</v>
      </c>
      <c r="L28" s="9">
        <v>6387436.5</v>
      </c>
    </row>
    <row r="29" spans="1:12" x14ac:dyDescent="0.2">
      <c r="A29" s="2">
        <v>28126</v>
      </c>
      <c r="B29" s="5">
        <v>615969</v>
      </c>
      <c r="C29" s="10">
        <v>813696.390625</v>
      </c>
      <c r="F29" s="8">
        <v>1003030.5389843</v>
      </c>
      <c r="L29" s="9">
        <v>6682804.5</v>
      </c>
    </row>
    <row r="30" spans="1:12" x14ac:dyDescent="0.2">
      <c r="A30" s="2">
        <v>28491</v>
      </c>
      <c r="B30" s="5">
        <v>628405</v>
      </c>
      <c r="C30" s="10">
        <v>844095.796875</v>
      </c>
      <c r="F30" s="8">
        <v>1042643.5674119</v>
      </c>
      <c r="L30" s="9">
        <v>7052711.25</v>
      </c>
    </row>
    <row r="31" spans="1:12" x14ac:dyDescent="0.2">
      <c r="A31" s="2">
        <v>28856</v>
      </c>
      <c r="B31" s="5">
        <v>657230</v>
      </c>
      <c r="C31" s="10">
        <v>875540.09375</v>
      </c>
      <c r="F31" s="8">
        <v>1081172.4876261</v>
      </c>
      <c r="L31" s="9">
        <v>7275999.25</v>
      </c>
    </row>
    <row r="32" spans="1:12" x14ac:dyDescent="0.2">
      <c r="A32" s="2">
        <v>29221</v>
      </c>
      <c r="B32" s="5">
        <v>675082</v>
      </c>
      <c r="C32" s="10">
        <v>894602.390625</v>
      </c>
      <c r="F32" s="8">
        <v>1099297.4077828999</v>
      </c>
      <c r="L32" s="9">
        <v>7257316.5</v>
      </c>
    </row>
    <row r="33" spans="1:12" x14ac:dyDescent="0.2">
      <c r="A33" s="2">
        <v>29587</v>
      </c>
      <c r="B33" s="5">
        <v>703313</v>
      </c>
      <c r="C33" s="10">
        <v>925153.6875</v>
      </c>
      <c r="F33" s="8">
        <v>1112360.5209482999</v>
      </c>
      <c r="L33" s="9">
        <v>7441485</v>
      </c>
    </row>
    <row r="34" spans="1:12" x14ac:dyDescent="0.2">
      <c r="A34" s="2">
        <v>29952</v>
      </c>
      <c r="B34" s="5">
        <v>700735</v>
      </c>
      <c r="C34" s="10">
        <v>895861.890625</v>
      </c>
      <c r="F34" s="8">
        <v>1139530.0677966001</v>
      </c>
      <c r="L34" s="9">
        <v>7307314</v>
      </c>
    </row>
    <row r="35" spans="1:12" x14ac:dyDescent="0.2">
      <c r="A35" s="2">
        <v>30317</v>
      </c>
      <c r="B35" s="5">
        <v>699482</v>
      </c>
      <c r="C35" s="10">
        <v>918816.1875</v>
      </c>
      <c r="F35" s="8">
        <v>1153911.5938263</v>
      </c>
      <c r="L35" s="9">
        <v>7642265.5</v>
      </c>
    </row>
    <row r="36" spans="1:12" x14ac:dyDescent="0.2">
      <c r="A36" s="2">
        <v>30682</v>
      </c>
      <c r="B36" s="5">
        <v>745630</v>
      </c>
      <c r="C36" s="10">
        <v>973013.09375</v>
      </c>
      <c r="F36" s="8">
        <v>1172483.4716662001</v>
      </c>
      <c r="L36" s="9">
        <v>8195295.25</v>
      </c>
    </row>
    <row r="37" spans="1:12" x14ac:dyDescent="0.2">
      <c r="A37" s="2">
        <v>31048</v>
      </c>
      <c r="B37" s="5">
        <v>783120</v>
      </c>
      <c r="C37" s="10">
        <v>1019111.296875</v>
      </c>
      <c r="F37" s="8">
        <v>1190880.6092661</v>
      </c>
      <c r="L37" s="9">
        <v>8537003.75</v>
      </c>
    </row>
    <row r="38" spans="1:12" x14ac:dyDescent="0.2">
      <c r="A38" s="2">
        <v>31413</v>
      </c>
      <c r="B38" s="5">
        <v>796960</v>
      </c>
      <c r="C38" s="10">
        <v>1040731.59375</v>
      </c>
      <c r="F38" s="8">
        <v>1219337.1247195001</v>
      </c>
      <c r="L38" s="9">
        <v>8832611.25</v>
      </c>
    </row>
    <row r="39" spans="1:12" x14ac:dyDescent="0.2">
      <c r="A39" s="2">
        <v>31778</v>
      </c>
      <c r="B39" s="5">
        <v>839585</v>
      </c>
      <c r="C39" s="10">
        <v>1083110.3125</v>
      </c>
      <c r="F39" s="8">
        <v>1250463.7069754</v>
      </c>
      <c r="L39" s="9">
        <v>9137744.75</v>
      </c>
    </row>
    <row r="40" spans="1:12" x14ac:dyDescent="0.2">
      <c r="A40" s="2">
        <v>32143</v>
      </c>
      <c r="B40" s="5">
        <v>876816</v>
      </c>
      <c r="C40" s="10">
        <v>1130884.625</v>
      </c>
      <c r="F40" s="8">
        <v>1310663.8308892001</v>
      </c>
      <c r="L40" s="9">
        <v>9519426.75</v>
      </c>
    </row>
    <row r="41" spans="1:12" x14ac:dyDescent="0.2">
      <c r="A41" s="2">
        <v>32509</v>
      </c>
      <c r="B41" s="5">
        <v>914735</v>
      </c>
      <c r="C41" s="10">
        <v>1157317.125</v>
      </c>
      <c r="F41" s="8">
        <v>1368400.7912254999</v>
      </c>
      <c r="L41" s="9">
        <v>9869003.25</v>
      </c>
    </row>
    <row r="42" spans="1:12" x14ac:dyDescent="0.2">
      <c r="A42" s="2">
        <v>32874</v>
      </c>
      <c r="B42" s="5">
        <v>927674</v>
      </c>
      <c r="C42" s="10">
        <v>1159665.9375</v>
      </c>
      <c r="F42" s="8">
        <v>1407121.4315795</v>
      </c>
      <c r="L42" s="9">
        <v>10055128.5</v>
      </c>
    </row>
    <row r="43" spans="1:12" x14ac:dyDescent="0.2">
      <c r="A43" s="2">
        <v>33239</v>
      </c>
      <c r="B43" s="5">
        <v>915381</v>
      </c>
      <c r="C43" s="10">
        <v>1135416.5</v>
      </c>
      <c r="D43" s="11">
        <v>2062769.6020533999</v>
      </c>
      <c r="F43" s="8">
        <v>1424522.7744137</v>
      </c>
      <c r="L43" s="9">
        <v>10044237.5</v>
      </c>
    </row>
    <row r="44" spans="1:12" x14ac:dyDescent="0.2">
      <c r="A44" s="2">
        <v>33604</v>
      </c>
      <c r="B44" s="5">
        <v>942932</v>
      </c>
      <c r="C44" s="10">
        <v>1145527.125</v>
      </c>
      <c r="D44" s="11">
        <v>2104317.5821345998</v>
      </c>
      <c r="F44" s="8">
        <v>1446119.4102989</v>
      </c>
      <c r="L44" s="9">
        <v>10398046.25</v>
      </c>
    </row>
    <row r="45" spans="1:12" x14ac:dyDescent="0.2">
      <c r="A45" s="2">
        <v>33970</v>
      </c>
      <c r="B45" s="5">
        <v>981551</v>
      </c>
      <c r="C45" s="10">
        <v>1175971.8125</v>
      </c>
      <c r="D45" s="11">
        <v>2083836.1818305999</v>
      </c>
      <c r="F45" s="8">
        <v>1440927.8732785</v>
      </c>
      <c r="J45" s="12">
        <v>13897107.75</v>
      </c>
      <c r="L45" s="9">
        <v>10684178.75</v>
      </c>
    </row>
    <row r="46" spans="1:12" x14ac:dyDescent="0.2">
      <c r="A46" s="2">
        <v>34335</v>
      </c>
      <c r="B46" s="5">
        <v>1028145</v>
      </c>
      <c r="C46" s="10">
        <v>1228820.625</v>
      </c>
      <c r="D46" s="11">
        <v>2137965.5969198998</v>
      </c>
      <c r="F46" s="8">
        <v>1475274.7070305001</v>
      </c>
      <c r="I46" s="5">
        <v>446522296</v>
      </c>
      <c r="J46" s="12">
        <v>14507764.25</v>
      </c>
      <c r="L46" s="9">
        <v>11114646.25</v>
      </c>
    </row>
    <row r="47" spans="1:12" x14ac:dyDescent="0.2">
      <c r="A47" s="2">
        <v>34700</v>
      </c>
      <c r="B47" s="5">
        <v>1060378</v>
      </c>
      <c r="C47" s="10">
        <v>1261781.625</v>
      </c>
      <c r="D47" s="11">
        <v>2170150.6545405998</v>
      </c>
      <c r="E47" s="8">
        <v>720845.19432484999</v>
      </c>
      <c r="F47" s="8">
        <v>1509276.7320212</v>
      </c>
      <c r="G47" s="5">
        <v>1355023</v>
      </c>
      <c r="H47" s="11">
        <v>1416118.1536677999</v>
      </c>
      <c r="I47" s="5">
        <v>458270200</v>
      </c>
      <c r="J47" s="12">
        <v>13650312</v>
      </c>
      <c r="L47" s="9">
        <v>11413012.25</v>
      </c>
    </row>
    <row r="48" spans="1:12" x14ac:dyDescent="0.2">
      <c r="A48" s="2">
        <v>35065</v>
      </c>
      <c r="B48" s="5">
        <v>1102405</v>
      </c>
      <c r="C48" s="10">
        <v>1283092.625</v>
      </c>
      <c r="D48" s="11">
        <v>2192680.1999642001</v>
      </c>
      <c r="E48" s="8">
        <v>739640.59244803002</v>
      </c>
      <c r="F48" s="8">
        <v>1530362.5334568999</v>
      </c>
      <c r="G48" s="5">
        <v>1390010</v>
      </c>
      <c r="H48" s="11">
        <v>1435173.2238961</v>
      </c>
      <c r="I48" s="5">
        <v>472631896</v>
      </c>
      <c r="J48" s="12">
        <v>14499129</v>
      </c>
      <c r="L48" s="9">
        <v>11843599</v>
      </c>
    </row>
    <row r="49" spans="1:12" x14ac:dyDescent="0.2">
      <c r="A49" s="2">
        <v>35431</v>
      </c>
      <c r="B49" s="5">
        <v>1148781</v>
      </c>
      <c r="C49" s="10">
        <v>1338011.125</v>
      </c>
      <c r="D49" s="11">
        <v>2233350.4108358002</v>
      </c>
      <c r="E49" s="8">
        <v>766173.71737626998</v>
      </c>
      <c r="F49" s="8">
        <v>1569035.7379000001</v>
      </c>
      <c r="G49" s="5">
        <v>1458467</v>
      </c>
      <c r="H49" s="11">
        <v>1462810.6592997999</v>
      </c>
      <c r="I49" s="5">
        <v>477269496</v>
      </c>
      <c r="J49" s="12">
        <v>15542903.25</v>
      </c>
      <c r="L49" s="9">
        <v>12370299.5</v>
      </c>
    </row>
    <row r="50" spans="1:12" x14ac:dyDescent="0.2">
      <c r="A50" s="2">
        <v>35796</v>
      </c>
      <c r="B50" s="5">
        <v>1206327</v>
      </c>
      <c r="C50" s="10">
        <v>1390098.3125</v>
      </c>
      <c r="D50" s="11">
        <v>2280165.0401022998</v>
      </c>
      <c r="E50" s="8">
        <v>799134.33795118995</v>
      </c>
      <c r="F50" s="8">
        <v>1623208.1770232001</v>
      </c>
      <c r="G50" s="5">
        <v>1508263</v>
      </c>
      <c r="H50" s="11">
        <v>1489205.2240003999</v>
      </c>
      <c r="I50" s="5">
        <v>471206696</v>
      </c>
      <c r="J50" s="12">
        <v>16504244.25</v>
      </c>
      <c r="K50" s="8">
        <v>760575.66246773</v>
      </c>
      <c r="L50" s="9">
        <v>12924875.75</v>
      </c>
    </row>
    <row r="51" spans="1:12" x14ac:dyDescent="0.2">
      <c r="A51" s="2">
        <v>36161</v>
      </c>
      <c r="B51" s="5">
        <v>1256450</v>
      </c>
      <c r="C51" s="10">
        <v>1461563.3125</v>
      </c>
      <c r="D51" s="11">
        <v>2328735.2162698</v>
      </c>
      <c r="E51" s="8">
        <v>834367.09570065001</v>
      </c>
      <c r="F51" s="8">
        <v>1678386.0238713</v>
      </c>
      <c r="G51" s="5">
        <v>1554509</v>
      </c>
      <c r="H51" s="11">
        <v>1514193.9622595999</v>
      </c>
      <c r="I51" s="5">
        <v>469633096</v>
      </c>
      <c r="J51" s="12">
        <v>16958940.75</v>
      </c>
      <c r="K51" s="8">
        <v>735756.80593998998</v>
      </c>
      <c r="L51" s="9">
        <v>13543774</v>
      </c>
    </row>
    <row r="52" spans="1:12" x14ac:dyDescent="0.2">
      <c r="A52" s="2">
        <v>36526</v>
      </c>
      <c r="B52" s="5">
        <v>1299004</v>
      </c>
      <c r="C52" s="10">
        <v>1536666.3125</v>
      </c>
      <c r="D52" s="11">
        <v>2395738.6561038001</v>
      </c>
      <c r="E52" s="8">
        <v>877759.5351023</v>
      </c>
      <c r="F52" s="8">
        <v>1747887.9885161</v>
      </c>
      <c r="G52" s="5">
        <v>1621644</v>
      </c>
      <c r="H52" s="11">
        <v>1572976.4686648</v>
      </c>
      <c r="I52" s="5">
        <v>482616896</v>
      </c>
      <c r="J52" s="12">
        <v>17811854.5</v>
      </c>
      <c r="K52" s="8">
        <v>786768.62406365003</v>
      </c>
      <c r="L52" s="9">
        <v>14096033</v>
      </c>
    </row>
    <row r="53" spans="1:12" x14ac:dyDescent="0.2">
      <c r="A53" s="2">
        <v>36892</v>
      </c>
      <c r="B53" s="5">
        <v>1334270</v>
      </c>
      <c r="C53" s="10">
        <v>1565480.3125</v>
      </c>
      <c r="D53" s="11">
        <v>2434945.901329</v>
      </c>
      <c r="E53" s="8">
        <v>912159.71080442006</v>
      </c>
      <c r="F53" s="8">
        <v>1781088.5442623</v>
      </c>
      <c r="G53" s="5">
        <v>1663462</v>
      </c>
      <c r="H53" s="11">
        <v>1604537.1923076999</v>
      </c>
      <c r="I53" s="5">
        <v>484480192</v>
      </c>
      <c r="J53" s="12">
        <v>17731550.5</v>
      </c>
      <c r="K53" s="8">
        <v>741529.41694402997</v>
      </c>
      <c r="L53" s="9">
        <v>14230726</v>
      </c>
    </row>
    <row r="54" spans="1:12" x14ac:dyDescent="0.2">
      <c r="A54" s="2">
        <v>37257</v>
      </c>
      <c r="B54" s="5">
        <v>1387782</v>
      </c>
      <c r="C54" s="10">
        <v>1612433.125</v>
      </c>
      <c r="D54" s="11">
        <v>2429386.6708891001</v>
      </c>
      <c r="E54" s="8">
        <v>937293.87134019996</v>
      </c>
      <c r="F54" s="8">
        <v>1800106.1220150001</v>
      </c>
      <c r="G54" s="5">
        <v>1693271</v>
      </c>
      <c r="H54" s="11">
        <v>1608868.3141562999</v>
      </c>
      <c r="I54" s="5">
        <v>484683504</v>
      </c>
      <c r="J54" s="12">
        <v>17689600</v>
      </c>
      <c r="K54" s="8">
        <v>789341.12510244001</v>
      </c>
      <c r="L54" s="9">
        <v>14472711.5</v>
      </c>
    </row>
    <row r="55" spans="1:12" x14ac:dyDescent="0.2">
      <c r="A55" s="2">
        <v>37622</v>
      </c>
      <c r="B55" s="5">
        <v>1431076</v>
      </c>
      <c r="C55" s="10">
        <v>1641559.8125</v>
      </c>
      <c r="D55" s="11">
        <v>2416512.6461445</v>
      </c>
      <c r="E55" s="8">
        <v>964843.65257796005</v>
      </c>
      <c r="F55" s="8">
        <v>1817528.0383788</v>
      </c>
      <c r="G55" s="5">
        <v>1746551</v>
      </c>
      <c r="H55" s="11">
        <v>1609939.0772991001</v>
      </c>
      <c r="I55" s="5">
        <v>492124112</v>
      </c>
      <c r="J55" s="12">
        <v>17899318</v>
      </c>
      <c r="K55" s="8">
        <v>834832.44588460005</v>
      </c>
      <c r="L55" s="9">
        <v>14877312.5</v>
      </c>
    </row>
    <row r="56" spans="1:12" x14ac:dyDescent="0.2">
      <c r="A56" s="2">
        <v>37987</v>
      </c>
      <c r="B56" s="5">
        <v>1487804</v>
      </c>
      <c r="C56" s="10">
        <v>1692322.8125</v>
      </c>
      <c r="D56" s="11">
        <v>2444601.4220079998</v>
      </c>
      <c r="E56" s="8">
        <v>994894.01186947001</v>
      </c>
      <c r="F56" s="8">
        <v>1869659.2958817999</v>
      </c>
      <c r="G56" s="5">
        <v>1788931</v>
      </c>
      <c r="H56" s="11">
        <v>1633669.9287594999</v>
      </c>
      <c r="I56" s="5">
        <v>502882400</v>
      </c>
      <c r="J56" s="12">
        <v>18537507.5</v>
      </c>
      <c r="K56" s="8">
        <v>916612.18970197998</v>
      </c>
      <c r="L56" s="9">
        <v>15449757.25</v>
      </c>
    </row>
    <row r="57" spans="1:12" x14ac:dyDescent="0.2">
      <c r="A57" s="2">
        <v>38353</v>
      </c>
      <c r="B57" s="5">
        <v>1532803</v>
      </c>
      <c r="C57" s="10">
        <v>1746654.125</v>
      </c>
      <c r="D57" s="11">
        <v>2466253.1897400999</v>
      </c>
      <c r="E57" s="8">
        <v>1030224.9425588</v>
      </c>
      <c r="F57" s="8">
        <v>1904969.0426886</v>
      </c>
      <c r="G57" s="5">
        <v>1837927</v>
      </c>
      <c r="H57" s="11">
        <v>1646125.2027282999</v>
      </c>
      <c r="I57" s="5">
        <v>511954000</v>
      </c>
      <c r="J57" s="12">
        <v>18929251</v>
      </c>
      <c r="K57" s="8">
        <v>999036.66391699004</v>
      </c>
      <c r="L57" s="9">
        <v>15987957.5</v>
      </c>
    </row>
    <row r="58" spans="1:12" x14ac:dyDescent="0.2">
      <c r="A58" s="2">
        <v>38718</v>
      </c>
      <c r="B58" s="5">
        <v>1574194</v>
      </c>
      <c r="C58" s="10">
        <v>1792729.8125</v>
      </c>
      <c r="D58" s="11">
        <v>2561345.4054375999</v>
      </c>
      <c r="E58" s="8">
        <v>1071881.4200726</v>
      </c>
      <c r="F58" s="8">
        <v>1956671.1309751</v>
      </c>
      <c r="G58" s="5">
        <v>1881785</v>
      </c>
      <c r="H58" s="11">
        <v>1675746.895248</v>
      </c>
      <c r="I58" s="5">
        <v>518979704</v>
      </c>
      <c r="J58" s="12">
        <v>19838803.5</v>
      </c>
      <c r="K58" s="8">
        <v>1068449.6761392001</v>
      </c>
      <c r="L58" s="9">
        <v>16433147.5</v>
      </c>
    </row>
    <row r="59" spans="1:12" x14ac:dyDescent="0.2">
      <c r="A59" s="2">
        <v>39083</v>
      </c>
      <c r="B59" s="5">
        <v>1642896</v>
      </c>
      <c r="C59" s="10">
        <v>1829479.25</v>
      </c>
      <c r="D59" s="11">
        <v>2635371.0328760999</v>
      </c>
      <c r="E59" s="8">
        <v>1109756.3514620999</v>
      </c>
      <c r="F59" s="8">
        <v>2006184.3394643001</v>
      </c>
      <c r="G59" s="5">
        <v>1931094</v>
      </c>
      <c r="H59" s="11">
        <v>1700251.2089237999</v>
      </c>
      <c r="I59" s="5">
        <v>526681216</v>
      </c>
      <c r="J59" s="12">
        <v>20251027.5</v>
      </c>
      <c r="K59" s="8">
        <v>1122337.0453408</v>
      </c>
      <c r="L59" s="9">
        <v>16762446</v>
      </c>
    </row>
    <row r="60" spans="1:12" x14ac:dyDescent="0.2">
      <c r="A60" s="2">
        <v>39448</v>
      </c>
      <c r="B60" s="5">
        <v>1683128</v>
      </c>
      <c r="C60" s="10">
        <v>1847689.9375</v>
      </c>
      <c r="D60" s="11">
        <v>2659363.5354642002</v>
      </c>
      <c r="E60" s="8">
        <v>1118270.02208</v>
      </c>
      <c r="F60" s="8">
        <v>2013811.2792734001</v>
      </c>
      <c r="G60" s="5">
        <v>1926735</v>
      </c>
      <c r="H60" s="11">
        <v>1682855.2840084999</v>
      </c>
      <c r="I60" s="5">
        <v>520233112</v>
      </c>
      <c r="J60" s="12">
        <v>20442061.5</v>
      </c>
      <c r="K60" s="8">
        <v>1131484.1912972999</v>
      </c>
      <c r="L60" s="9">
        <v>16781485.5</v>
      </c>
    </row>
    <row r="61" spans="1:12" x14ac:dyDescent="0.2">
      <c r="A61" s="2">
        <v>39814</v>
      </c>
      <c r="B61" s="5">
        <v>1716647</v>
      </c>
      <c r="C61" s="10">
        <v>1793828.25</v>
      </c>
      <c r="D61" s="11">
        <v>2511897.4515785002</v>
      </c>
      <c r="E61" s="8">
        <v>1076132.1195727999</v>
      </c>
      <c r="F61" s="8">
        <v>1956930.1418294001</v>
      </c>
      <c r="G61" s="5">
        <v>1837817</v>
      </c>
      <c r="H61" s="11">
        <v>1593577.219387</v>
      </c>
      <c r="I61" s="5">
        <v>490615096</v>
      </c>
      <c r="J61" s="12">
        <v>19155183</v>
      </c>
      <c r="K61" s="8">
        <v>1076910.5721306</v>
      </c>
      <c r="L61" s="9">
        <v>16349110.5</v>
      </c>
    </row>
    <row r="62" spans="1:12" x14ac:dyDescent="0.2">
      <c r="A62" s="2">
        <v>40179</v>
      </c>
      <c r="B62" s="5">
        <v>1759716</v>
      </c>
      <c r="C62" s="10">
        <v>1849271.8125</v>
      </c>
      <c r="D62" s="11">
        <v>2616060</v>
      </c>
      <c r="E62" s="8">
        <v>1077145</v>
      </c>
      <c r="F62" s="8">
        <v>1996075.1</v>
      </c>
      <c r="G62" s="5">
        <v>1878960</v>
      </c>
      <c r="H62" s="11">
        <v>1617944.7</v>
      </c>
      <c r="I62" s="5">
        <v>510719984</v>
      </c>
      <c r="J62" s="12">
        <v>20107451</v>
      </c>
      <c r="K62" s="8">
        <v>1167664</v>
      </c>
      <c r="L62" s="9">
        <v>16789750.5</v>
      </c>
    </row>
    <row r="63" spans="1:12" x14ac:dyDescent="0.2">
      <c r="A63" s="2">
        <v>40544</v>
      </c>
      <c r="B63" s="5">
        <v>1806719</v>
      </c>
      <c r="C63" s="10">
        <v>1907287.125</v>
      </c>
      <c r="D63" s="11">
        <v>2714370.7197631998</v>
      </c>
      <c r="E63" s="8">
        <v>1070252.1268598</v>
      </c>
      <c r="F63" s="8">
        <v>2044730.9583043</v>
      </c>
      <c r="G63" s="5">
        <v>1900476</v>
      </c>
      <c r="H63" s="11">
        <v>1629196.9092476999</v>
      </c>
      <c r="I63" s="5">
        <v>510841608</v>
      </c>
      <c r="J63" s="12">
        <v>20799960.5</v>
      </c>
      <c r="K63" s="8">
        <v>1298443.1470269</v>
      </c>
      <c r="L63" s="9">
        <v>17052411</v>
      </c>
    </row>
    <row r="64" spans="1:12" x14ac:dyDescent="0.2">
      <c r="A64" s="2">
        <v>40909</v>
      </c>
      <c r="B64" s="5">
        <v>1877634</v>
      </c>
      <c r="C64" s="10">
        <v>1940772.625</v>
      </c>
      <c r="D64" s="11">
        <v>2727244.7445077999</v>
      </c>
      <c r="E64" s="8">
        <v>1039588.1866944</v>
      </c>
      <c r="F64" s="8">
        <v>2048489.8948794999</v>
      </c>
      <c r="G64" s="5">
        <v>1929229</v>
      </c>
      <c r="H64" s="11">
        <v>1578280.6157541999</v>
      </c>
      <c r="I64" s="5">
        <v>517864408</v>
      </c>
      <c r="J64" s="12">
        <v>21539026.5</v>
      </c>
      <c r="K64" s="8">
        <v>1360618.6993799</v>
      </c>
      <c r="L64" s="9">
        <v>17442759.5</v>
      </c>
    </row>
    <row r="65" spans="1:12" x14ac:dyDescent="0.2">
      <c r="A65" s="2">
        <v>41275</v>
      </c>
      <c r="B65" s="5">
        <v>1918848</v>
      </c>
      <c r="C65" s="10">
        <v>1985911.3125</v>
      </c>
      <c r="D65" s="11">
        <v>2737778.0343964002</v>
      </c>
      <c r="E65" s="8">
        <v>1024749.9132225</v>
      </c>
      <c r="F65" s="8">
        <v>2064504.0966831001</v>
      </c>
      <c r="G65" s="5">
        <v>1963807</v>
      </c>
      <c r="H65" s="11">
        <v>1549587.0778930001</v>
      </c>
      <c r="I65" s="5">
        <v>528248112</v>
      </c>
      <c r="J65" s="12">
        <v>21722561.5</v>
      </c>
      <c r="K65" s="8">
        <v>1476078.4101042999</v>
      </c>
      <c r="L65" s="9">
        <v>17812167.5</v>
      </c>
    </row>
    <row r="66" spans="1:12" x14ac:dyDescent="0.2">
      <c r="A66" s="2">
        <v>41640</v>
      </c>
      <c r="B66" s="5">
        <v>1967906</v>
      </c>
      <c r="C66" s="10">
        <v>2042975.9375</v>
      </c>
      <c r="D66" s="11">
        <v>2797174.098671</v>
      </c>
      <c r="E66" s="8">
        <v>1040331.0915371</v>
      </c>
      <c r="F66" s="8">
        <v>2085104.3987581001</v>
      </c>
      <c r="G66" s="5">
        <v>2026566</v>
      </c>
      <c r="H66" s="11">
        <v>1549565.5755545001</v>
      </c>
      <c r="I66" s="5">
        <v>529812712</v>
      </c>
      <c r="J66" s="12">
        <v>22266442.5</v>
      </c>
      <c r="K66" s="8">
        <v>1548992.3351378001</v>
      </c>
      <c r="L66" s="9">
        <v>18261715</v>
      </c>
    </row>
    <row r="67" spans="1:12" x14ac:dyDescent="0.2">
      <c r="A67" s="2">
        <v>42005</v>
      </c>
      <c r="B67" s="5">
        <v>2013816</v>
      </c>
      <c r="C67" s="10">
        <v>2056254.5</v>
      </c>
      <c r="D67" s="11">
        <v>2843403.5484644002</v>
      </c>
      <c r="E67" s="8">
        <v>1082577.5506604</v>
      </c>
      <c r="F67" s="8">
        <v>2107347.3489291002</v>
      </c>
      <c r="G67" s="5">
        <v>2071561</v>
      </c>
      <c r="H67" s="11">
        <v>1563289.5763441001</v>
      </c>
      <c r="I67" s="5">
        <v>538081208</v>
      </c>
      <c r="J67" s="12">
        <v>22868154.5</v>
      </c>
      <c r="K67" s="8">
        <v>1643240.6833037001</v>
      </c>
      <c r="L67" s="9">
        <v>18799622.5</v>
      </c>
    </row>
    <row r="68" spans="1:12" x14ac:dyDescent="0.2">
      <c r="A68" s="2">
        <v>42370</v>
      </c>
      <c r="B68" s="5">
        <v>2068460</v>
      </c>
      <c r="C68" s="10">
        <v>2077609.8125</v>
      </c>
      <c r="D68" s="11">
        <v>2908651.4329153998</v>
      </c>
      <c r="E68" s="8">
        <v>1114136.3749311001</v>
      </c>
      <c r="F68" s="8">
        <v>2125471.1909969999</v>
      </c>
      <c r="G68" s="5">
        <v>2111357</v>
      </c>
      <c r="H68" s="11">
        <v>1582615.2917082999</v>
      </c>
      <c r="I68" s="5">
        <v>542137488</v>
      </c>
      <c r="J68" s="12">
        <v>23273491</v>
      </c>
      <c r="K68" s="8">
        <v>1697847.4753208</v>
      </c>
      <c r="L68" s="9">
        <v>19141672.5</v>
      </c>
    </row>
    <row r="69" spans="1:12" x14ac:dyDescent="0.2">
      <c r="A69" s="2">
        <v>42736</v>
      </c>
      <c r="B69" s="5">
        <v>2119470</v>
      </c>
      <c r="C69" s="10">
        <v>2140641.125</v>
      </c>
      <c r="D69" s="11">
        <v>2987651.1198025001</v>
      </c>
      <c r="E69" s="8">
        <v>1146402.2331627</v>
      </c>
      <c r="F69" s="8">
        <v>2169757.8245771001</v>
      </c>
      <c r="G69" s="5">
        <v>2167415</v>
      </c>
      <c r="H69" s="11">
        <v>1607995.6923966</v>
      </c>
      <c r="I69" s="5">
        <v>551219984</v>
      </c>
      <c r="J69" s="12">
        <v>23709107</v>
      </c>
      <c r="K69" s="8">
        <v>1825219.4495909</v>
      </c>
      <c r="L69" s="9">
        <v>19612103</v>
      </c>
    </row>
    <row r="70" spans="1:12" x14ac:dyDescent="0.2">
      <c r="A70" s="2">
        <v>43101</v>
      </c>
      <c r="B70" s="5">
        <v>2180424</v>
      </c>
      <c r="C70" s="10">
        <v>2199358.125</v>
      </c>
      <c r="D70" s="11">
        <v>3021006.5448512998</v>
      </c>
      <c r="E70" s="8">
        <v>1173863.2811662999</v>
      </c>
      <c r="F70" s="8">
        <v>2205470.0579006001</v>
      </c>
      <c r="G70" s="5">
        <v>2197841</v>
      </c>
      <c r="H70" s="11">
        <v>1621288.1359224</v>
      </c>
      <c r="I70" s="5">
        <v>554766592</v>
      </c>
      <c r="J70" s="12">
        <v>24176670</v>
      </c>
      <c r="K70" s="8">
        <v>1880216.8251683</v>
      </c>
      <c r="L70" s="9">
        <v>20193895.5</v>
      </c>
    </row>
    <row r="71" spans="1:12" x14ac:dyDescent="0.2">
      <c r="A71" s="2">
        <v>43466</v>
      </c>
      <c r="B71" s="5">
        <v>2219610</v>
      </c>
      <c r="C71" s="10">
        <v>2241331.3125</v>
      </c>
      <c r="D71" s="11">
        <v>3050850.8676159</v>
      </c>
      <c r="E71" s="8">
        <v>1196884.8355548</v>
      </c>
      <c r="F71" s="8">
        <v>2250184.7826083</v>
      </c>
      <c r="G71" s="5">
        <v>2233921</v>
      </c>
      <c r="H71" s="11">
        <v>1628246.0971665001</v>
      </c>
      <c r="I71" s="5">
        <v>552535408</v>
      </c>
      <c r="J71" s="12">
        <v>24081731</v>
      </c>
      <c r="K71" s="8">
        <v>1895606.8875392999</v>
      </c>
      <c r="L71" s="9">
        <v>20715672</v>
      </c>
    </row>
    <row r="72" spans="1:12" x14ac:dyDescent="0.2">
      <c r="A72" s="2">
        <v>43831</v>
      </c>
      <c r="B72" s="5">
        <v>2171984</v>
      </c>
      <c r="C72" s="10">
        <v>2128407.8125</v>
      </c>
      <c r="D72" s="11">
        <v>2925914.3291537999</v>
      </c>
      <c r="E72" s="8">
        <v>1065944.7891249999</v>
      </c>
      <c r="F72" s="8">
        <v>2082756.5008504</v>
      </c>
      <c r="G72" s="5">
        <v>2002489</v>
      </c>
      <c r="H72" s="11">
        <v>1483849.6312335001</v>
      </c>
      <c r="I72" s="5">
        <v>529504496</v>
      </c>
      <c r="J72" s="12">
        <v>22069935</v>
      </c>
      <c r="K72" s="8">
        <v>1930862.1368004</v>
      </c>
      <c r="L72" s="9">
        <v>20267585.5</v>
      </c>
    </row>
    <row r="73" spans="1:12" x14ac:dyDescent="0.2">
      <c r="A73" s="2">
        <v>44197</v>
      </c>
      <c r="B73" s="5">
        <v>2291172</v>
      </c>
      <c r="C73" s="10">
        <v>2240935.9375</v>
      </c>
      <c r="D73" s="11">
        <v>3033295.381641</v>
      </c>
      <c r="E73" s="8">
        <v>1137183.4165250999</v>
      </c>
      <c r="F73" s="8">
        <v>2226098.8394901999</v>
      </c>
      <c r="G73" s="5">
        <v>2176203</v>
      </c>
      <c r="H73" s="11">
        <v>1616373.1633883</v>
      </c>
      <c r="I73" s="5">
        <v>543838808</v>
      </c>
      <c r="J73" s="12">
        <v>23404831</v>
      </c>
      <c r="K73" s="8">
        <v>2151740.8855176</v>
      </c>
      <c r="L73" s="9">
        <v>21494799</v>
      </c>
    </row>
    <row r="74" spans="1:12" x14ac:dyDescent="0.2">
      <c r="A74" s="2">
        <v>44562</v>
      </c>
      <c r="B74" s="5">
        <v>2380797</v>
      </c>
      <c r="C74" s="10">
        <v>2326536.75</v>
      </c>
      <c r="D74" s="11">
        <v>3074843.3702040999</v>
      </c>
      <c r="E74" s="8">
        <v>1207453.5301149001</v>
      </c>
      <c r="F74" s="8">
        <v>2283328.2894845</v>
      </c>
      <c r="G74" s="5">
        <v>2270764</v>
      </c>
      <c r="H74" s="11">
        <v>1691724.6432052001</v>
      </c>
      <c r="I74" s="5">
        <v>550137296</v>
      </c>
      <c r="J74" s="12">
        <v>24268261.5</v>
      </c>
      <c r="K74" s="8">
        <v>2270806.8061008998</v>
      </c>
      <c r="L74" s="9">
        <v>22034829</v>
      </c>
    </row>
    <row r="75" spans="1:12" x14ac:dyDescent="0.2">
      <c r="A75" s="2">
        <v>44927</v>
      </c>
      <c r="B75" s="5">
        <v>2427380</v>
      </c>
      <c r="C75" s="10">
        <v>2355593.3125</v>
      </c>
      <c r="D75" s="11">
        <v>3066650.8066897001</v>
      </c>
      <c r="E75" s="8">
        <v>1239760.9230518001</v>
      </c>
      <c r="F75" s="8">
        <v>2304711.3739299001</v>
      </c>
      <c r="G75" s="5">
        <v>2273126</v>
      </c>
      <c r="H75" s="11">
        <v>1703526.672578</v>
      </c>
      <c r="I75" s="5">
        <v>559374192</v>
      </c>
      <c r="J75" s="12">
        <v>25044841</v>
      </c>
      <c r="K75" s="8">
        <v>2386871.1187749999</v>
      </c>
      <c r="L75" s="9">
        <v>22671097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E4AC-AAB1-401A-A3F0-E2962A699B19}">
  <dimension ref="A1:L75"/>
  <sheetViews>
    <sheetView workbookViewId="0">
      <selection sqref="A1:A1048576"/>
    </sheetView>
  </sheetViews>
  <sheetFormatPr defaultRowHeight="12.75" x14ac:dyDescent="0.2"/>
  <cols>
    <col min="1" max="1" width="12.7109375" style="1" customWidth="1"/>
    <col min="2" max="12" width="16.7109375" style="1" customWidth="1"/>
    <col min="13" max="256" width="8.7109375" style="1"/>
    <col min="257" max="257" width="12.7109375" style="1" customWidth="1"/>
    <col min="258" max="268" width="16.7109375" style="1" customWidth="1"/>
    <col min="269" max="512" width="8.7109375" style="1"/>
    <col min="513" max="513" width="12.7109375" style="1" customWidth="1"/>
    <col min="514" max="524" width="16.7109375" style="1" customWidth="1"/>
    <col min="525" max="768" width="8.7109375" style="1"/>
    <col min="769" max="769" width="12.7109375" style="1" customWidth="1"/>
    <col min="770" max="780" width="16.7109375" style="1" customWidth="1"/>
    <col min="781" max="1024" width="8.7109375" style="1"/>
    <col min="1025" max="1025" width="12.7109375" style="1" customWidth="1"/>
    <col min="1026" max="1036" width="16.7109375" style="1" customWidth="1"/>
    <col min="1037" max="1280" width="8.7109375" style="1"/>
    <col min="1281" max="1281" width="12.7109375" style="1" customWidth="1"/>
    <col min="1282" max="1292" width="16.7109375" style="1" customWidth="1"/>
    <col min="1293" max="1536" width="8.7109375" style="1"/>
    <col min="1537" max="1537" width="12.7109375" style="1" customWidth="1"/>
    <col min="1538" max="1548" width="16.7109375" style="1" customWidth="1"/>
    <col min="1549" max="1792" width="8.7109375" style="1"/>
    <col min="1793" max="1793" width="12.7109375" style="1" customWidth="1"/>
    <col min="1794" max="1804" width="16.7109375" style="1" customWidth="1"/>
    <col min="1805" max="2048" width="8.7109375" style="1"/>
    <col min="2049" max="2049" width="12.7109375" style="1" customWidth="1"/>
    <col min="2050" max="2060" width="16.7109375" style="1" customWidth="1"/>
    <col min="2061" max="2304" width="8.7109375" style="1"/>
    <col min="2305" max="2305" width="12.7109375" style="1" customWidth="1"/>
    <col min="2306" max="2316" width="16.7109375" style="1" customWidth="1"/>
    <col min="2317" max="2560" width="8.7109375" style="1"/>
    <col min="2561" max="2561" width="12.7109375" style="1" customWidth="1"/>
    <col min="2562" max="2572" width="16.7109375" style="1" customWidth="1"/>
    <col min="2573" max="2816" width="8.7109375" style="1"/>
    <col min="2817" max="2817" width="12.7109375" style="1" customWidth="1"/>
    <col min="2818" max="2828" width="16.7109375" style="1" customWidth="1"/>
    <col min="2829" max="3072" width="8.7109375" style="1"/>
    <col min="3073" max="3073" width="12.7109375" style="1" customWidth="1"/>
    <col min="3074" max="3084" width="16.7109375" style="1" customWidth="1"/>
    <col min="3085" max="3328" width="8.7109375" style="1"/>
    <col min="3329" max="3329" width="12.7109375" style="1" customWidth="1"/>
    <col min="3330" max="3340" width="16.7109375" style="1" customWidth="1"/>
    <col min="3341" max="3584" width="8.7109375" style="1"/>
    <col min="3585" max="3585" width="12.7109375" style="1" customWidth="1"/>
    <col min="3586" max="3596" width="16.7109375" style="1" customWidth="1"/>
    <col min="3597" max="3840" width="8.7109375" style="1"/>
    <col min="3841" max="3841" width="12.7109375" style="1" customWidth="1"/>
    <col min="3842" max="3852" width="16.7109375" style="1" customWidth="1"/>
    <col min="3853" max="4096" width="8.7109375" style="1"/>
    <col min="4097" max="4097" width="12.7109375" style="1" customWidth="1"/>
    <col min="4098" max="4108" width="16.7109375" style="1" customWidth="1"/>
    <col min="4109" max="4352" width="8.7109375" style="1"/>
    <col min="4353" max="4353" width="12.7109375" style="1" customWidth="1"/>
    <col min="4354" max="4364" width="16.7109375" style="1" customWidth="1"/>
    <col min="4365" max="4608" width="8.7109375" style="1"/>
    <col min="4609" max="4609" width="12.7109375" style="1" customWidth="1"/>
    <col min="4610" max="4620" width="16.7109375" style="1" customWidth="1"/>
    <col min="4621" max="4864" width="8.7109375" style="1"/>
    <col min="4865" max="4865" width="12.7109375" style="1" customWidth="1"/>
    <col min="4866" max="4876" width="16.7109375" style="1" customWidth="1"/>
    <col min="4877" max="5120" width="8.7109375" style="1"/>
    <col min="5121" max="5121" width="12.7109375" style="1" customWidth="1"/>
    <col min="5122" max="5132" width="16.7109375" style="1" customWidth="1"/>
    <col min="5133" max="5376" width="8.7109375" style="1"/>
    <col min="5377" max="5377" width="12.7109375" style="1" customWidth="1"/>
    <col min="5378" max="5388" width="16.7109375" style="1" customWidth="1"/>
    <col min="5389" max="5632" width="8.7109375" style="1"/>
    <col min="5633" max="5633" width="12.7109375" style="1" customWidth="1"/>
    <col min="5634" max="5644" width="16.7109375" style="1" customWidth="1"/>
    <col min="5645" max="5888" width="8.7109375" style="1"/>
    <col min="5889" max="5889" width="12.7109375" style="1" customWidth="1"/>
    <col min="5890" max="5900" width="16.7109375" style="1" customWidth="1"/>
    <col min="5901" max="6144" width="8.7109375" style="1"/>
    <col min="6145" max="6145" width="12.7109375" style="1" customWidth="1"/>
    <col min="6146" max="6156" width="16.7109375" style="1" customWidth="1"/>
    <col min="6157" max="6400" width="8.7109375" style="1"/>
    <col min="6401" max="6401" width="12.7109375" style="1" customWidth="1"/>
    <col min="6402" max="6412" width="16.7109375" style="1" customWidth="1"/>
    <col min="6413" max="6656" width="8.7109375" style="1"/>
    <col min="6657" max="6657" width="12.7109375" style="1" customWidth="1"/>
    <col min="6658" max="6668" width="16.7109375" style="1" customWidth="1"/>
    <col min="6669" max="6912" width="8.7109375" style="1"/>
    <col min="6913" max="6913" width="12.7109375" style="1" customWidth="1"/>
    <col min="6914" max="6924" width="16.7109375" style="1" customWidth="1"/>
    <col min="6925" max="7168" width="8.7109375" style="1"/>
    <col min="7169" max="7169" width="12.7109375" style="1" customWidth="1"/>
    <col min="7170" max="7180" width="16.7109375" style="1" customWidth="1"/>
    <col min="7181" max="7424" width="8.7109375" style="1"/>
    <col min="7425" max="7425" width="12.7109375" style="1" customWidth="1"/>
    <col min="7426" max="7436" width="16.7109375" style="1" customWidth="1"/>
    <col min="7437" max="7680" width="8.7109375" style="1"/>
    <col min="7681" max="7681" width="12.7109375" style="1" customWidth="1"/>
    <col min="7682" max="7692" width="16.7109375" style="1" customWidth="1"/>
    <col min="7693" max="7936" width="8.7109375" style="1"/>
    <col min="7937" max="7937" width="12.7109375" style="1" customWidth="1"/>
    <col min="7938" max="7948" width="16.7109375" style="1" customWidth="1"/>
    <col min="7949" max="8192" width="8.7109375" style="1"/>
    <col min="8193" max="8193" width="12.7109375" style="1" customWidth="1"/>
    <col min="8194" max="8204" width="16.7109375" style="1" customWidth="1"/>
    <col min="8205" max="8448" width="8.7109375" style="1"/>
    <col min="8449" max="8449" width="12.7109375" style="1" customWidth="1"/>
    <col min="8450" max="8460" width="16.7109375" style="1" customWidth="1"/>
    <col min="8461" max="8704" width="8.7109375" style="1"/>
    <col min="8705" max="8705" width="12.7109375" style="1" customWidth="1"/>
    <col min="8706" max="8716" width="16.7109375" style="1" customWidth="1"/>
    <col min="8717" max="8960" width="8.7109375" style="1"/>
    <col min="8961" max="8961" width="12.7109375" style="1" customWidth="1"/>
    <col min="8962" max="8972" width="16.7109375" style="1" customWidth="1"/>
    <col min="8973" max="9216" width="8.7109375" style="1"/>
    <col min="9217" max="9217" width="12.7109375" style="1" customWidth="1"/>
    <col min="9218" max="9228" width="16.7109375" style="1" customWidth="1"/>
    <col min="9229" max="9472" width="8.7109375" style="1"/>
    <col min="9473" max="9473" width="12.7109375" style="1" customWidth="1"/>
    <col min="9474" max="9484" width="16.7109375" style="1" customWidth="1"/>
    <col min="9485" max="9728" width="8.7109375" style="1"/>
    <col min="9729" max="9729" width="12.7109375" style="1" customWidth="1"/>
    <col min="9730" max="9740" width="16.7109375" style="1" customWidth="1"/>
    <col min="9741" max="9984" width="8.7109375" style="1"/>
    <col min="9985" max="9985" width="12.7109375" style="1" customWidth="1"/>
    <col min="9986" max="9996" width="16.7109375" style="1" customWidth="1"/>
    <col min="9997" max="10240" width="8.7109375" style="1"/>
    <col min="10241" max="10241" width="12.7109375" style="1" customWidth="1"/>
    <col min="10242" max="10252" width="16.7109375" style="1" customWidth="1"/>
    <col min="10253" max="10496" width="8.7109375" style="1"/>
    <col min="10497" max="10497" width="12.7109375" style="1" customWidth="1"/>
    <col min="10498" max="10508" width="16.7109375" style="1" customWidth="1"/>
    <col min="10509" max="10752" width="8.7109375" style="1"/>
    <col min="10753" max="10753" width="12.7109375" style="1" customWidth="1"/>
    <col min="10754" max="10764" width="16.7109375" style="1" customWidth="1"/>
    <col min="10765" max="11008" width="8.7109375" style="1"/>
    <col min="11009" max="11009" width="12.7109375" style="1" customWidth="1"/>
    <col min="11010" max="11020" width="16.7109375" style="1" customWidth="1"/>
    <col min="11021" max="11264" width="8.7109375" style="1"/>
    <col min="11265" max="11265" width="12.7109375" style="1" customWidth="1"/>
    <col min="11266" max="11276" width="16.7109375" style="1" customWidth="1"/>
    <col min="11277" max="11520" width="8.7109375" style="1"/>
    <col min="11521" max="11521" width="12.7109375" style="1" customWidth="1"/>
    <col min="11522" max="11532" width="16.7109375" style="1" customWidth="1"/>
    <col min="11533" max="11776" width="8.7109375" style="1"/>
    <col min="11777" max="11777" width="12.7109375" style="1" customWidth="1"/>
    <col min="11778" max="11788" width="16.7109375" style="1" customWidth="1"/>
    <col min="11789" max="12032" width="8.7109375" style="1"/>
    <col min="12033" max="12033" width="12.7109375" style="1" customWidth="1"/>
    <col min="12034" max="12044" width="16.7109375" style="1" customWidth="1"/>
    <col min="12045" max="12288" width="8.7109375" style="1"/>
    <col min="12289" max="12289" width="12.7109375" style="1" customWidth="1"/>
    <col min="12290" max="12300" width="16.7109375" style="1" customWidth="1"/>
    <col min="12301" max="12544" width="8.7109375" style="1"/>
    <col min="12545" max="12545" width="12.7109375" style="1" customWidth="1"/>
    <col min="12546" max="12556" width="16.7109375" style="1" customWidth="1"/>
    <col min="12557" max="12800" width="8.7109375" style="1"/>
    <col min="12801" max="12801" width="12.7109375" style="1" customWidth="1"/>
    <col min="12802" max="12812" width="16.7109375" style="1" customWidth="1"/>
    <col min="12813" max="13056" width="8.7109375" style="1"/>
    <col min="13057" max="13057" width="12.7109375" style="1" customWidth="1"/>
    <col min="13058" max="13068" width="16.7109375" style="1" customWidth="1"/>
    <col min="13069" max="13312" width="8.7109375" style="1"/>
    <col min="13313" max="13313" width="12.7109375" style="1" customWidth="1"/>
    <col min="13314" max="13324" width="16.7109375" style="1" customWidth="1"/>
    <col min="13325" max="13568" width="8.7109375" style="1"/>
    <col min="13569" max="13569" width="12.7109375" style="1" customWidth="1"/>
    <col min="13570" max="13580" width="16.7109375" style="1" customWidth="1"/>
    <col min="13581" max="13824" width="8.7109375" style="1"/>
    <col min="13825" max="13825" width="12.7109375" style="1" customWidth="1"/>
    <col min="13826" max="13836" width="16.7109375" style="1" customWidth="1"/>
    <col min="13837" max="14080" width="8.7109375" style="1"/>
    <col min="14081" max="14081" width="12.7109375" style="1" customWidth="1"/>
    <col min="14082" max="14092" width="16.7109375" style="1" customWidth="1"/>
    <col min="14093" max="14336" width="8.7109375" style="1"/>
    <col min="14337" max="14337" width="12.7109375" style="1" customWidth="1"/>
    <col min="14338" max="14348" width="16.7109375" style="1" customWidth="1"/>
    <col min="14349" max="14592" width="8.7109375" style="1"/>
    <col min="14593" max="14593" width="12.7109375" style="1" customWidth="1"/>
    <col min="14594" max="14604" width="16.7109375" style="1" customWidth="1"/>
    <col min="14605" max="14848" width="8.7109375" style="1"/>
    <col min="14849" max="14849" width="12.7109375" style="1" customWidth="1"/>
    <col min="14850" max="14860" width="16.7109375" style="1" customWidth="1"/>
    <col min="14861" max="15104" width="8.7109375" style="1"/>
    <col min="15105" max="15105" width="12.7109375" style="1" customWidth="1"/>
    <col min="15106" max="15116" width="16.7109375" style="1" customWidth="1"/>
    <col min="15117" max="15360" width="8.7109375" style="1"/>
    <col min="15361" max="15361" width="12.7109375" style="1" customWidth="1"/>
    <col min="15362" max="15372" width="16.7109375" style="1" customWidth="1"/>
    <col min="15373" max="15616" width="8.7109375" style="1"/>
    <col min="15617" max="15617" width="12.7109375" style="1" customWidth="1"/>
    <col min="15618" max="15628" width="16.7109375" style="1" customWidth="1"/>
    <col min="15629" max="15872" width="8.7109375" style="1"/>
    <col min="15873" max="15873" width="12.7109375" style="1" customWidth="1"/>
    <col min="15874" max="15884" width="16.7109375" style="1" customWidth="1"/>
    <col min="15885" max="16128" width="8.7109375" style="1"/>
    <col min="16129" max="16129" width="12.7109375" style="1" customWidth="1"/>
    <col min="16130" max="16140" width="16.7109375" style="1" customWidth="1"/>
    <col min="16141" max="16384" width="8.7109375" style="1"/>
  </cols>
  <sheetData>
    <row r="1" spans="1:12" x14ac:dyDescent="0.2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 x14ac:dyDescent="0.2">
      <c r="A2" s="2">
        <v>18264</v>
      </c>
    </row>
    <row r="3" spans="1:12" x14ac:dyDescent="0.2">
      <c r="A3" s="2">
        <v>18629</v>
      </c>
    </row>
    <row r="4" spans="1:12" x14ac:dyDescent="0.2">
      <c r="A4" s="2">
        <v>18994</v>
      </c>
    </row>
    <row r="5" spans="1:12" x14ac:dyDescent="0.2">
      <c r="A5" s="2">
        <v>19360</v>
      </c>
    </row>
    <row r="6" spans="1:12" x14ac:dyDescent="0.2">
      <c r="A6" s="2">
        <v>19725</v>
      </c>
    </row>
    <row r="7" spans="1:12" x14ac:dyDescent="0.2">
      <c r="A7" s="2">
        <v>20090</v>
      </c>
    </row>
    <row r="8" spans="1:12" x14ac:dyDescent="0.2">
      <c r="A8" s="2">
        <v>20455</v>
      </c>
    </row>
    <row r="9" spans="1:12" x14ac:dyDescent="0.2">
      <c r="A9" s="2">
        <v>20821</v>
      </c>
    </row>
    <row r="10" spans="1:12" x14ac:dyDescent="0.2">
      <c r="A10" s="2">
        <v>21186</v>
      </c>
    </row>
    <row r="11" spans="1:12" x14ac:dyDescent="0.2">
      <c r="A11" s="2">
        <v>21551</v>
      </c>
    </row>
    <row r="12" spans="1:12" x14ac:dyDescent="0.2">
      <c r="A12" s="2">
        <v>21916</v>
      </c>
      <c r="B12" s="5">
        <v>10276477</v>
      </c>
      <c r="C12" s="5">
        <v>17909356</v>
      </c>
      <c r="D12" s="5">
        <v>72814900</v>
      </c>
      <c r="E12" s="5">
        <v>1211537</v>
      </c>
      <c r="F12" s="5">
        <v>46649927</v>
      </c>
      <c r="G12" s="5">
        <v>52400000</v>
      </c>
      <c r="H12" s="5">
        <v>50199700</v>
      </c>
      <c r="I12" s="5">
        <v>93216000</v>
      </c>
      <c r="J12" s="5">
        <v>36268055</v>
      </c>
      <c r="K12" s="5">
        <v>27510980</v>
      </c>
      <c r="L12" s="5">
        <v>180671000</v>
      </c>
    </row>
    <row r="13" spans="1:12" x14ac:dyDescent="0.2">
      <c r="A13" s="2">
        <v>22282</v>
      </c>
      <c r="B13" s="5">
        <v>10483000</v>
      </c>
      <c r="C13" s="5">
        <v>18271000</v>
      </c>
      <c r="D13" s="5">
        <v>73377632</v>
      </c>
      <c r="E13" s="5">
        <v>1225077</v>
      </c>
      <c r="F13" s="5">
        <v>47161641</v>
      </c>
      <c r="G13" s="5">
        <v>52800000</v>
      </c>
      <c r="H13" s="5">
        <v>50536350</v>
      </c>
      <c r="I13" s="5">
        <v>94055000</v>
      </c>
      <c r="J13" s="5">
        <v>37439317</v>
      </c>
      <c r="K13" s="5">
        <v>28255002</v>
      </c>
      <c r="L13" s="5">
        <v>183691000</v>
      </c>
    </row>
    <row r="14" spans="1:12" x14ac:dyDescent="0.2">
      <c r="A14" s="2">
        <v>22647</v>
      </c>
      <c r="B14" s="5">
        <v>10742000</v>
      </c>
      <c r="C14" s="5">
        <v>18614000</v>
      </c>
      <c r="D14" s="5">
        <v>74025784</v>
      </c>
      <c r="E14" s="5">
        <v>1241623</v>
      </c>
      <c r="F14" s="5">
        <v>47679792</v>
      </c>
      <c r="G14" s="5">
        <v>53250000</v>
      </c>
      <c r="H14" s="5">
        <v>50879450</v>
      </c>
      <c r="I14" s="5">
        <v>94933000</v>
      </c>
      <c r="J14" s="5">
        <v>38683283</v>
      </c>
      <c r="K14" s="5">
        <v>29033647</v>
      </c>
      <c r="L14" s="5">
        <v>186538000</v>
      </c>
    </row>
    <row r="15" spans="1:12" x14ac:dyDescent="0.2">
      <c r="A15" s="2">
        <v>23012</v>
      </c>
      <c r="B15" s="5">
        <v>10950000</v>
      </c>
      <c r="C15" s="5">
        <v>18964000</v>
      </c>
      <c r="D15" s="5">
        <v>74714353</v>
      </c>
      <c r="E15" s="5">
        <v>1258857</v>
      </c>
      <c r="F15" s="5">
        <v>48189939</v>
      </c>
      <c r="G15" s="5">
        <v>53650000</v>
      </c>
      <c r="H15" s="5">
        <v>51252000</v>
      </c>
      <c r="I15" s="5">
        <v>95900000</v>
      </c>
      <c r="J15" s="5">
        <v>39982118</v>
      </c>
      <c r="K15" s="5">
        <v>29827877</v>
      </c>
      <c r="L15" s="5">
        <v>189242000</v>
      </c>
    </row>
    <row r="16" spans="1:12" x14ac:dyDescent="0.2">
      <c r="A16" s="2">
        <v>23377</v>
      </c>
      <c r="B16" s="5">
        <v>11167000</v>
      </c>
      <c r="C16" s="5">
        <v>19325000</v>
      </c>
      <c r="D16" s="5">
        <v>75318337</v>
      </c>
      <c r="E16" s="5">
        <v>1277086</v>
      </c>
      <c r="F16" s="5">
        <v>48733997</v>
      </c>
      <c r="G16" s="5">
        <v>54000000</v>
      </c>
      <c r="H16" s="5">
        <v>51675350</v>
      </c>
      <c r="I16" s="5">
        <v>96903000</v>
      </c>
      <c r="J16" s="5">
        <v>41333878</v>
      </c>
      <c r="K16" s="5">
        <v>30612821</v>
      </c>
      <c r="L16" s="5">
        <v>191889000</v>
      </c>
    </row>
    <row r="17" spans="1:12" x14ac:dyDescent="0.2">
      <c r="A17" s="2">
        <v>23743</v>
      </c>
      <c r="B17" s="5">
        <v>11388000</v>
      </c>
      <c r="C17" s="5">
        <v>19678000</v>
      </c>
      <c r="D17" s="5">
        <v>75963695</v>
      </c>
      <c r="E17" s="5">
        <v>1294566</v>
      </c>
      <c r="F17" s="5">
        <v>49282756</v>
      </c>
      <c r="G17" s="5">
        <v>54348050</v>
      </c>
      <c r="H17" s="5">
        <v>52112350</v>
      </c>
      <c r="I17" s="5">
        <v>97952000</v>
      </c>
      <c r="J17" s="5">
        <v>42737991</v>
      </c>
      <c r="K17" s="5">
        <v>31374536</v>
      </c>
      <c r="L17" s="5">
        <v>194303000</v>
      </c>
    </row>
    <row r="18" spans="1:12" x14ac:dyDescent="0.2">
      <c r="A18" s="2">
        <v>24108</v>
      </c>
      <c r="B18" s="5">
        <v>11651000</v>
      </c>
      <c r="C18" s="5">
        <v>20048000</v>
      </c>
      <c r="D18" s="5">
        <v>76600311</v>
      </c>
      <c r="E18" s="5">
        <v>1308597</v>
      </c>
      <c r="F18" s="5">
        <v>49817041</v>
      </c>
      <c r="G18" s="5">
        <v>54648500</v>
      </c>
      <c r="H18" s="5">
        <v>52519000</v>
      </c>
      <c r="I18" s="5">
        <v>98851000</v>
      </c>
      <c r="J18" s="5">
        <v>44180437</v>
      </c>
      <c r="K18" s="5">
        <v>32172785</v>
      </c>
      <c r="L18" s="5">
        <v>196560000</v>
      </c>
    </row>
    <row r="19" spans="1:12" x14ac:dyDescent="0.2">
      <c r="A19" s="2">
        <v>24473</v>
      </c>
      <c r="B19" s="5">
        <v>11799000</v>
      </c>
      <c r="C19" s="5">
        <v>20412000</v>
      </c>
      <c r="D19" s="5">
        <v>76951336</v>
      </c>
      <c r="E19" s="5">
        <v>1318946</v>
      </c>
      <c r="F19" s="5">
        <v>50334012</v>
      </c>
      <c r="G19" s="5">
        <v>54943600</v>
      </c>
      <c r="H19" s="5">
        <v>52900500</v>
      </c>
      <c r="I19" s="5">
        <v>99879000</v>
      </c>
      <c r="J19" s="5">
        <v>45656963</v>
      </c>
      <c r="K19" s="5">
        <v>33026490</v>
      </c>
      <c r="L19" s="5">
        <v>198712000</v>
      </c>
    </row>
    <row r="20" spans="1:12" x14ac:dyDescent="0.2">
      <c r="A20" s="2">
        <v>24838</v>
      </c>
      <c r="B20" s="5">
        <v>12009000</v>
      </c>
      <c r="C20" s="5">
        <v>20744000</v>
      </c>
      <c r="D20" s="5">
        <v>77294314</v>
      </c>
      <c r="E20" s="5">
        <v>1331214</v>
      </c>
      <c r="F20" s="5">
        <v>50817020</v>
      </c>
      <c r="G20" s="5">
        <v>55211700</v>
      </c>
      <c r="H20" s="5">
        <v>53235750</v>
      </c>
      <c r="I20" s="5">
        <v>101011000</v>
      </c>
      <c r="J20" s="5">
        <v>47170337</v>
      </c>
      <c r="K20" s="5">
        <v>33884075</v>
      </c>
      <c r="L20" s="5">
        <v>200706000</v>
      </c>
    </row>
    <row r="21" spans="1:12" x14ac:dyDescent="0.2">
      <c r="A21" s="2">
        <v>25204</v>
      </c>
      <c r="B21" s="5">
        <v>12263000</v>
      </c>
      <c r="C21" s="5">
        <v>21028000</v>
      </c>
      <c r="D21" s="5">
        <v>77909682</v>
      </c>
      <c r="E21" s="5">
        <v>1345249</v>
      </c>
      <c r="F21" s="5">
        <v>51272683</v>
      </c>
      <c r="G21" s="5">
        <v>55441750</v>
      </c>
      <c r="H21" s="5">
        <v>53537950</v>
      </c>
      <c r="I21" s="5">
        <v>102219000</v>
      </c>
      <c r="J21" s="5">
        <v>48714394</v>
      </c>
      <c r="K21" s="5">
        <v>34721990</v>
      </c>
      <c r="L21" s="5">
        <v>202677000</v>
      </c>
    </row>
    <row r="22" spans="1:12" x14ac:dyDescent="0.2">
      <c r="A22" s="2">
        <v>25569</v>
      </c>
      <c r="B22" s="5">
        <v>12507000</v>
      </c>
      <c r="C22" s="5">
        <v>21324000</v>
      </c>
      <c r="D22" s="5">
        <v>78169289</v>
      </c>
      <c r="E22" s="5">
        <v>1360076</v>
      </c>
      <c r="F22" s="5">
        <v>51724116</v>
      </c>
      <c r="G22" s="5">
        <v>55663250</v>
      </c>
      <c r="H22" s="5">
        <v>53821850</v>
      </c>
      <c r="I22" s="5">
        <v>103403000</v>
      </c>
      <c r="J22" s="5">
        <v>50289306</v>
      </c>
      <c r="K22" s="5">
        <v>35540990</v>
      </c>
      <c r="L22" s="5">
        <v>205052000</v>
      </c>
    </row>
    <row r="23" spans="1:12" x14ac:dyDescent="0.2">
      <c r="A23" s="2">
        <v>25934</v>
      </c>
      <c r="B23" s="5">
        <v>12937000</v>
      </c>
      <c r="C23" s="5">
        <v>21962032</v>
      </c>
      <c r="D23" s="5">
        <v>78312842</v>
      </c>
      <c r="E23" s="5">
        <v>1376955</v>
      </c>
      <c r="F23" s="5">
        <v>52185222</v>
      </c>
      <c r="G23" s="5">
        <v>55896223</v>
      </c>
      <c r="H23" s="5">
        <v>54073490</v>
      </c>
      <c r="I23" s="5">
        <v>105697000</v>
      </c>
      <c r="J23" s="5">
        <v>51897675</v>
      </c>
      <c r="K23" s="5">
        <v>36359957</v>
      </c>
      <c r="L23" s="5">
        <v>207661000</v>
      </c>
    </row>
    <row r="24" spans="1:12" x14ac:dyDescent="0.2">
      <c r="A24" s="2">
        <v>26299</v>
      </c>
      <c r="B24" s="5">
        <v>13177000</v>
      </c>
      <c r="C24" s="5">
        <v>22218463</v>
      </c>
      <c r="D24" s="5">
        <v>78688452</v>
      </c>
      <c r="E24" s="5">
        <v>1392518</v>
      </c>
      <c r="F24" s="5">
        <v>52637888</v>
      </c>
      <c r="G24" s="5">
        <v>56086065</v>
      </c>
      <c r="H24" s="5">
        <v>54381345</v>
      </c>
      <c r="I24" s="5">
        <v>107188000</v>
      </c>
      <c r="J24" s="5">
        <v>53543436</v>
      </c>
      <c r="K24" s="5">
        <v>37188035</v>
      </c>
      <c r="L24" s="5">
        <v>209896000</v>
      </c>
    </row>
    <row r="25" spans="1:12" x14ac:dyDescent="0.2">
      <c r="A25" s="2">
        <v>26665</v>
      </c>
      <c r="B25" s="5">
        <v>13380000</v>
      </c>
      <c r="C25" s="5">
        <v>22491777</v>
      </c>
      <c r="D25" s="5">
        <v>78936666</v>
      </c>
      <c r="E25" s="5">
        <v>1405951</v>
      </c>
      <c r="F25" s="5">
        <v>53053660</v>
      </c>
      <c r="G25" s="5">
        <v>56194527</v>
      </c>
      <c r="H25" s="5">
        <v>54751406</v>
      </c>
      <c r="I25" s="5">
        <v>108707000</v>
      </c>
      <c r="J25" s="5">
        <v>55228203</v>
      </c>
      <c r="K25" s="5">
        <v>38028236</v>
      </c>
      <c r="L25" s="5">
        <v>211909000</v>
      </c>
    </row>
    <row r="26" spans="1:12" x14ac:dyDescent="0.2">
      <c r="A26" s="2">
        <v>27030</v>
      </c>
      <c r="B26" s="5">
        <v>13723000</v>
      </c>
      <c r="C26" s="5">
        <v>22807969</v>
      </c>
      <c r="D26" s="5">
        <v>78967433</v>
      </c>
      <c r="E26" s="5">
        <v>1418169</v>
      </c>
      <c r="F26" s="5">
        <v>53415250</v>
      </c>
      <c r="G26" s="5">
        <v>56229974</v>
      </c>
      <c r="H26" s="5">
        <v>55110868</v>
      </c>
      <c r="I26" s="5">
        <v>110162000</v>
      </c>
      <c r="J26" s="5">
        <v>56945880</v>
      </c>
      <c r="K26" s="5">
        <v>38863420</v>
      </c>
      <c r="L26" s="5">
        <v>213854000</v>
      </c>
    </row>
    <row r="27" spans="1:12" x14ac:dyDescent="0.2">
      <c r="A27" s="2">
        <v>27395</v>
      </c>
      <c r="B27" s="5">
        <v>13893000</v>
      </c>
      <c r="C27" s="5">
        <v>23143275</v>
      </c>
      <c r="D27" s="5">
        <v>78673554</v>
      </c>
      <c r="E27" s="5">
        <v>1429352</v>
      </c>
      <c r="F27" s="5">
        <v>53715733</v>
      </c>
      <c r="G27" s="5">
        <v>56225800</v>
      </c>
      <c r="H27" s="5">
        <v>55441001</v>
      </c>
      <c r="I27" s="5">
        <v>111573000</v>
      </c>
      <c r="J27" s="5">
        <v>58691882</v>
      </c>
      <c r="K27" s="5">
        <v>39673590</v>
      </c>
      <c r="L27" s="5">
        <v>215973000</v>
      </c>
    </row>
    <row r="28" spans="1:12" x14ac:dyDescent="0.2">
      <c r="A28" s="2">
        <v>27760</v>
      </c>
      <c r="B28" s="5">
        <v>14033000</v>
      </c>
      <c r="C28" s="5">
        <v>23449808</v>
      </c>
      <c r="D28" s="5">
        <v>78336950</v>
      </c>
      <c r="E28" s="5">
        <v>1439576</v>
      </c>
      <c r="F28" s="5">
        <v>53966558</v>
      </c>
      <c r="G28" s="5">
        <v>56211968</v>
      </c>
      <c r="H28" s="5">
        <v>55718260</v>
      </c>
      <c r="I28" s="5">
        <v>112775000</v>
      </c>
      <c r="J28" s="5">
        <v>60452543</v>
      </c>
      <c r="K28" s="5">
        <v>40500997</v>
      </c>
      <c r="L28" s="5">
        <v>218035000</v>
      </c>
    </row>
    <row r="29" spans="1:12" x14ac:dyDescent="0.2">
      <c r="A29" s="2">
        <v>28126</v>
      </c>
      <c r="B29" s="5">
        <v>14192000</v>
      </c>
      <c r="C29" s="5">
        <v>23725843</v>
      </c>
      <c r="D29" s="5">
        <v>78159814</v>
      </c>
      <c r="E29" s="5">
        <v>1450211</v>
      </c>
      <c r="F29" s="5">
        <v>54221988</v>
      </c>
      <c r="G29" s="5">
        <v>56193492</v>
      </c>
      <c r="H29" s="5">
        <v>55955411</v>
      </c>
      <c r="I29" s="5">
        <v>113872000</v>
      </c>
      <c r="J29" s="5">
        <v>62262505</v>
      </c>
      <c r="K29" s="5">
        <v>41385656</v>
      </c>
      <c r="L29" s="5">
        <v>220239000</v>
      </c>
    </row>
    <row r="30" spans="1:12" x14ac:dyDescent="0.2">
      <c r="A30" s="2">
        <v>28491</v>
      </c>
      <c r="B30" s="5">
        <v>14358000</v>
      </c>
      <c r="C30" s="5">
        <v>23963203</v>
      </c>
      <c r="D30" s="5">
        <v>78091820</v>
      </c>
      <c r="E30" s="5">
        <v>1460188</v>
      </c>
      <c r="F30" s="5">
        <v>54486195</v>
      </c>
      <c r="G30" s="5">
        <v>56196504</v>
      </c>
      <c r="H30" s="5">
        <v>56155143</v>
      </c>
      <c r="I30" s="5">
        <v>114913000</v>
      </c>
      <c r="J30" s="5">
        <v>64123997</v>
      </c>
      <c r="K30" s="5">
        <v>42292206</v>
      </c>
      <c r="L30" s="5">
        <v>222585000</v>
      </c>
    </row>
    <row r="31" spans="1:12" x14ac:dyDescent="0.2">
      <c r="A31" s="2">
        <v>28856</v>
      </c>
      <c r="B31" s="5">
        <v>14514000</v>
      </c>
      <c r="C31" s="5">
        <v>24201544</v>
      </c>
      <c r="D31" s="5">
        <v>78126350</v>
      </c>
      <c r="E31" s="5">
        <v>1468333</v>
      </c>
      <c r="F31" s="5">
        <v>54753575</v>
      </c>
      <c r="G31" s="5">
        <v>56246951</v>
      </c>
      <c r="H31" s="5">
        <v>56317749</v>
      </c>
      <c r="I31" s="5">
        <v>115890000</v>
      </c>
      <c r="J31" s="5">
        <v>65972912</v>
      </c>
      <c r="K31" s="5">
        <v>43187476</v>
      </c>
      <c r="L31" s="5">
        <v>225055000</v>
      </c>
    </row>
    <row r="32" spans="1:12" x14ac:dyDescent="0.2">
      <c r="A32" s="2">
        <v>29221</v>
      </c>
      <c r="B32" s="5">
        <v>14692000</v>
      </c>
      <c r="C32" s="5">
        <v>24515667</v>
      </c>
      <c r="D32" s="5">
        <v>78288576</v>
      </c>
      <c r="E32" s="5">
        <v>1477219</v>
      </c>
      <c r="F32" s="5">
        <v>55052582</v>
      </c>
      <c r="G32" s="5">
        <v>56314216</v>
      </c>
      <c r="H32" s="5">
        <v>56433883</v>
      </c>
      <c r="I32" s="5">
        <v>116807000</v>
      </c>
      <c r="J32" s="5">
        <v>67705186</v>
      </c>
      <c r="K32" s="5">
        <v>44089069</v>
      </c>
      <c r="L32" s="5">
        <v>227225000</v>
      </c>
    </row>
    <row r="33" spans="1:12" x14ac:dyDescent="0.2">
      <c r="A33" s="2">
        <v>29587</v>
      </c>
      <c r="B33" s="5">
        <v>14923260</v>
      </c>
      <c r="C33" s="5">
        <v>24819915</v>
      </c>
      <c r="D33" s="5">
        <v>78407907</v>
      </c>
      <c r="E33" s="5">
        <v>1487666</v>
      </c>
      <c r="F33" s="5">
        <v>55371044</v>
      </c>
      <c r="G33" s="5">
        <v>56333829</v>
      </c>
      <c r="H33" s="5">
        <v>56501675</v>
      </c>
      <c r="I33" s="5">
        <v>117661000</v>
      </c>
      <c r="J33" s="5">
        <v>69233769</v>
      </c>
      <c r="K33" s="5">
        <v>44981877</v>
      </c>
      <c r="L33" s="5">
        <v>229466000</v>
      </c>
    </row>
    <row r="34" spans="1:12" x14ac:dyDescent="0.2">
      <c r="A34" s="2">
        <v>29952</v>
      </c>
      <c r="B34" s="5">
        <v>15184247</v>
      </c>
      <c r="C34" s="5">
        <v>25116942</v>
      </c>
      <c r="D34" s="5">
        <v>78333366</v>
      </c>
      <c r="E34" s="5">
        <v>1498414</v>
      </c>
      <c r="F34" s="5">
        <v>55694106</v>
      </c>
      <c r="G34" s="5">
        <v>56313641</v>
      </c>
      <c r="H34" s="5">
        <v>56543548</v>
      </c>
      <c r="I34" s="5">
        <v>118480000</v>
      </c>
      <c r="J34" s="5">
        <v>70656783</v>
      </c>
      <c r="K34" s="5">
        <v>45949991</v>
      </c>
      <c r="L34" s="5">
        <v>231664000</v>
      </c>
    </row>
    <row r="35" spans="1:12" x14ac:dyDescent="0.2">
      <c r="A35" s="2">
        <v>30317</v>
      </c>
      <c r="B35" s="5">
        <v>15393472</v>
      </c>
      <c r="C35" s="5">
        <v>25366451</v>
      </c>
      <c r="D35" s="5">
        <v>78128282</v>
      </c>
      <c r="E35" s="5">
        <v>1508745</v>
      </c>
      <c r="F35" s="5">
        <v>55992656</v>
      </c>
      <c r="G35" s="5">
        <v>56332848</v>
      </c>
      <c r="H35" s="5">
        <v>56564074</v>
      </c>
      <c r="I35" s="5">
        <v>119307000</v>
      </c>
      <c r="J35" s="5">
        <v>72080310</v>
      </c>
      <c r="K35" s="5">
        <v>47026425</v>
      </c>
      <c r="L35" s="5">
        <v>233792000</v>
      </c>
    </row>
    <row r="36" spans="1:12" x14ac:dyDescent="0.2">
      <c r="A36" s="2">
        <v>30682</v>
      </c>
      <c r="B36" s="5">
        <v>15579391</v>
      </c>
      <c r="C36" s="5">
        <v>25607053</v>
      </c>
      <c r="D36" s="5">
        <v>77858685</v>
      </c>
      <c r="E36" s="5">
        <v>1518617</v>
      </c>
      <c r="F36" s="5">
        <v>56275701</v>
      </c>
      <c r="G36" s="5">
        <v>56422072</v>
      </c>
      <c r="H36" s="5">
        <v>56576718</v>
      </c>
      <c r="I36" s="5">
        <v>120083000</v>
      </c>
      <c r="J36" s="5">
        <v>73489654</v>
      </c>
      <c r="K36" s="5">
        <v>48106764</v>
      </c>
      <c r="L36" s="5">
        <v>235825000</v>
      </c>
    </row>
    <row r="37" spans="1:12" x14ac:dyDescent="0.2">
      <c r="A37" s="2">
        <v>31048</v>
      </c>
      <c r="B37" s="5">
        <v>15788312</v>
      </c>
      <c r="C37" s="5">
        <v>25842116</v>
      </c>
      <c r="D37" s="5">
        <v>77684873</v>
      </c>
      <c r="E37" s="5">
        <v>1528781</v>
      </c>
      <c r="F37" s="5">
        <v>56569195</v>
      </c>
      <c r="G37" s="5">
        <v>56550268</v>
      </c>
      <c r="H37" s="5">
        <v>56593071</v>
      </c>
      <c r="I37" s="5">
        <v>120837000</v>
      </c>
      <c r="J37" s="5">
        <v>74872006</v>
      </c>
      <c r="K37" s="5">
        <v>49175673</v>
      </c>
      <c r="L37" s="5">
        <v>237924000</v>
      </c>
    </row>
    <row r="38" spans="1:12" x14ac:dyDescent="0.2">
      <c r="A38" s="2">
        <v>31413</v>
      </c>
      <c r="B38" s="5">
        <v>16018350</v>
      </c>
      <c r="C38" s="5">
        <v>26100278</v>
      </c>
      <c r="D38" s="5">
        <v>77720436</v>
      </c>
      <c r="E38" s="5">
        <v>1540190</v>
      </c>
      <c r="F38" s="5">
        <v>56865193</v>
      </c>
      <c r="G38" s="5">
        <v>56681396</v>
      </c>
      <c r="H38" s="5">
        <v>56596155</v>
      </c>
      <c r="I38" s="5">
        <v>121482000</v>
      </c>
      <c r="J38" s="5">
        <v>76224365</v>
      </c>
      <c r="K38" s="5">
        <v>50223885</v>
      </c>
      <c r="L38" s="5">
        <v>240133000</v>
      </c>
    </row>
    <row r="39" spans="1:12" x14ac:dyDescent="0.2">
      <c r="A39" s="2">
        <v>31778</v>
      </c>
      <c r="B39" s="5">
        <v>16263874</v>
      </c>
      <c r="C39" s="5">
        <v>26446601</v>
      </c>
      <c r="D39" s="5">
        <v>77839920</v>
      </c>
      <c r="E39" s="5">
        <v>1552221</v>
      </c>
      <c r="F39" s="5">
        <v>57168409</v>
      </c>
      <c r="G39" s="5">
        <v>56802050</v>
      </c>
      <c r="H39" s="5">
        <v>56601931</v>
      </c>
      <c r="I39" s="5">
        <v>122069000</v>
      </c>
      <c r="J39" s="5">
        <v>77553504</v>
      </c>
      <c r="K39" s="5">
        <v>51250152</v>
      </c>
      <c r="L39" s="5">
        <v>242289000</v>
      </c>
    </row>
    <row r="40" spans="1:12" x14ac:dyDescent="0.2">
      <c r="A40" s="2">
        <v>32143</v>
      </c>
      <c r="B40" s="5">
        <v>16532164</v>
      </c>
      <c r="C40" s="5">
        <v>26791747</v>
      </c>
      <c r="D40" s="5">
        <v>78144619</v>
      </c>
      <c r="E40" s="5">
        <v>1561900</v>
      </c>
      <c r="F40" s="5">
        <v>57472651</v>
      </c>
      <c r="G40" s="5">
        <v>56928327</v>
      </c>
      <c r="H40" s="5">
        <v>56629288</v>
      </c>
      <c r="I40" s="5">
        <v>122578000</v>
      </c>
      <c r="J40" s="5">
        <v>78892015</v>
      </c>
      <c r="K40" s="5">
        <v>52275890</v>
      </c>
      <c r="L40" s="5">
        <v>244499000</v>
      </c>
    </row>
    <row r="41" spans="1:12" x14ac:dyDescent="0.2">
      <c r="A41" s="2">
        <v>32509</v>
      </c>
      <c r="B41" s="5">
        <v>16814416</v>
      </c>
      <c r="C41" s="5">
        <v>27276781</v>
      </c>
      <c r="D41" s="5">
        <v>78751283</v>
      </c>
      <c r="E41" s="5">
        <v>1568131</v>
      </c>
      <c r="F41" s="5">
        <v>57766282</v>
      </c>
      <c r="G41" s="5">
        <v>57076711</v>
      </c>
      <c r="H41" s="5">
        <v>56671781</v>
      </c>
      <c r="I41" s="5">
        <v>123069000</v>
      </c>
      <c r="J41" s="5">
        <v>80233749</v>
      </c>
      <c r="K41" s="5">
        <v>53305234</v>
      </c>
      <c r="L41" s="5">
        <v>246819000</v>
      </c>
    </row>
    <row r="42" spans="1:12" x14ac:dyDescent="0.2">
      <c r="A42" s="2">
        <v>32874</v>
      </c>
      <c r="B42" s="5">
        <v>17065128</v>
      </c>
      <c r="C42" s="5">
        <v>27691138</v>
      </c>
      <c r="D42" s="5">
        <v>79433029</v>
      </c>
      <c r="E42" s="5">
        <v>1569174</v>
      </c>
      <c r="F42" s="5">
        <v>58044701</v>
      </c>
      <c r="G42" s="5">
        <v>57247586</v>
      </c>
      <c r="H42" s="5">
        <v>56719240</v>
      </c>
      <c r="I42" s="5">
        <v>123478000</v>
      </c>
      <c r="J42" s="5">
        <v>81720428</v>
      </c>
      <c r="K42" s="5">
        <v>54324142</v>
      </c>
      <c r="L42" s="5">
        <v>249623000</v>
      </c>
    </row>
    <row r="43" spans="1:12" x14ac:dyDescent="0.2">
      <c r="A43" s="2">
        <v>33239</v>
      </c>
      <c r="B43" s="5">
        <v>17284036</v>
      </c>
      <c r="C43" s="5">
        <v>28037420</v>
      </c>
      <c r="D43" s="5">
        <v>80013896</v>
      </c>
      <c r="E43" s="5">
        <v>1561314</v>
      </c>
      <c r="F43" s="5">
        <v>58557577</v>
      </c>
      <c r="G43" s="5">
        <v>57424897</v>
      </c>
      <c r="H43" s="5">
        <v>56758521</v>
      </c>
      <c r="I43" s="5">
        <v>123964000</v>
      </c>
      <c r="J43" s="5">
        <v>83351595</v>
      </c>
      <c r="K43" s="5">
        <v>55321172</v>
      </c>
      <c r="L43" s="5">
        <v>252981000</v>
      </c>
    </row>
    <row r="44" spans="1:12" x14ac:dyDescent="0.2">
      <c r="A44" s="2">
        <v>33604</v>
      </c>
      <c r="B44" s="5">
        <v>17478635</v>
      </c>
      <c r="C44" s="5">
        <v>28371264</v>
      </c>
      <c r="D44" s="5">
        <v>80624598</v>
      </c>
      <c r="E44" s="5">
        <v>1533091</v>
      </c>
      <c r="F44" s="5">
        <v>58849943</v>
      </c>
      <c r="G44" s="5">
        <v>57580402</v>
      </c>
      <c r="H44" s="5">
        <v>56797087</v>
      </c>
      <c r="I44" s="5">
        <v>124425000</v>
      </c>
      <c r="J44" s="5">
        <v>84993164</v>
      </c>
      <c r="K44" s="5">
        <v>56302037</v>
      </c>
      <c r="L44" s="5">
        <v>256514000</v>
      </c>
    </row>
    <row r="45" spans="1:12" x14ac:dyDescent="0.2">
      <c r="A45" s="2">
        <v>33970</v>
      </c>
      <c r="B45" s="5">
        <v>17634808</v>
      </c>
      <c r="C45" s="5">
        <v>28684764</v>
      </c>
      <c r="D45" s="5">
        <v>81156363</v>
      </c>
      <c r="E45" s="5">
        <v>1494128</v>
      </c>
      <c r="F45" s="5">
        <v>59106166</v>
      </c>
      <c r="G45" s="5">
        <v>57718614</v>
      </c>
      <c r="H45" s="5">
        <v>56831821</v>
      </c>
      <c r="I45" s="5">
        <v>124829000</v>
      </c>
      <c r="J45" s="5">
        <v>86648447</v>
      </c>
      <c r="K45" s="5">
        <v>57296008</v>
      </c>
      <c r="L45" s="5">
        <v>259919000</v>
      </c>
    </row>
    <row r="46" spans="1:12" x14ac:dyDescent="0.2">
      <c r="A46" s="2">
        <v>34335</v>
      </c>
      <c r="B46" s="5">
        <v>17805468</v>
      </c>
      <c r="C46" s="5">
        <v>29000663</v>
      </c>
      <c r="D46" s="5">
        <v>81438348</v>
      </c>
      <c r="E46" s="5">
        <v>1462514</v>
      </c>
      <c r="F46" s="5">
        <v>59327585</v>
      </c>
      <c r="G46" s="5">
        <v>57865745</v>
      </c>
      <c r="H46" s="5">
        <v>56843400</v>
      </c>
      <c r="I46" s="5">
        <v>125178000</v>
      </c>
      <c r="J46" s="5">
        <v>88314424</v>
      </c>
      <c r="K46" s="5">
        <v>58310245</v>
      </c>
      <c r="L46" s="5">
        <v>263126000</v>
      </c>
    </row>
    <row r="47" spans="1:12" x14ac:dyDescent="0.2">
      <c r="A47" s="2">
        <v>34700</v>
      </c>
      <c r="B47" s="5">
        <v>18004882</v>
      </c>
      <c r="C47" s="5">
        <v>29302311</v>
      </c>
      <c r="D47" s="5">
        <v>81678051</v>
      </c>
      <c r="E47" s="5">
        <v>1436634</v>
      </c>
      <c r="F47" s="5">
        <v>59543659</v>
      </c>
      <c r="G47" s="5">
        <v>58019030</v>
      </c>
      <c r="H47" s="5">
        <v>56844303</v>
      </c>
      <c r="I47" s="5">
        <v>125472000</v>
      </c>
      <c r="J47" s="5">
        <v>89969572</v>
      </c>
      <c r="K47" s="5">
        <v>59305490</v>
      </c>
      <c r="L47" s="5">
        <v>266278000</v>
      </c>
    </row>
    <row r="48" spans="1:12" x14ac:dyDescent="0.2">
      <c r="A48" s="2">
        <v>35065</v>
      </c>
      <c r="B48" s="5">
        <v>18224767</v>
      </c>
      <c r="C48" s="5">
        <v>29610218</v>
      </c>
      <c r="D48" s="5">
        <v>81914831</v>
      </c>
      <c r="E48" s="5">
        <v>1415594</v>
      </c>
      <c r="F48" s="5">
        <v>59756533</v>
      </c>
      <c r="G48" s="5">
        <v>58166950</v>
      </c>
      <c r="H48" s="5">
        <v>56860281</v>
      </c>
      <c r="I48" s="5">
        <v>125757000</v>
      </c>
      <c r="J48" s="5">
        <v>91586555</v>
      </c>
      <c r="K48" s="5">
        <v>60293786</v>
      </c>
      <c r="L48" s="5">
        <v>269394000</v>
      </c>
    </row>
    <row r="49" spans="1:12" x14ac:dyDescent="0.2">
      <c r="A49" s="2">
        <v>35431</v>
      </c>
      <c r="B49" s="5">
        <v>18423037</v>
      </c>
      <c r="C49" s="5">
        <v>29905948</v>
      </c>
      <c r="D49" s="5">
        <v>82034771</v>
      </c>
      <c r="E49" s="5">
        <v>1399535</v>
      </c>
      <c r="F49" s="5">
        <v>59969944</v>
      </c>
      <c r="G49" s="5">
        <v>58316954</v>
      </c>
      <c r="H49" s="5">
        <v>56890372</v>
      </c>
      <c r="I49" s="5">
        <v>126057000</v>
      </c>
      <c r="J49" s="5">
        <v>93183094</v>
      </c>
      <c r="K49" s="5">
        <v>61277426</v>
      </c>
      <c r="L49" s="5">
        <v>272657000</v>
      </c>
    </row>
    <row r="50" spans="1:12" x14ac:dyDescent="0.2">
      <c r="A50" s="2">
        <v>35796</v>
      </c>
      <c r="B50" s="5">
        <v>18607584</v>
      </c>
      <c r="C50" s="5">
        <v>30155173</v>
      </c>
      <c r="D50" s="5">
        <v>82047195</v>
      </c>
      <c r="E50" s="5">
        <v>1386156</v>
      </c>
      <c r="F50" s="5">
        <v>60192790</v>
      </c>
      <c r="G50" s="5">
        <v>58487141</v>
      </c>
      <c r="H50" s="5">
        <v>56906744</v>
      </c>
      <c r="I50" s="5">
        <v>126400000</v>
      </c>
      <c r="J50" s="5">
        <v>94767284</v>
      </c>
      <c r="K50" s="5">
        <v>62242204</v>
      </c>
      <c r="L50" s="5">
        <v>275854000</v>
      </c>
    </row>
    <row r="51" spans="1:12" x14ac:dyDescent="0.2">
      <c r="A51" s="2">
        <v>36161</v>
      </c>
      <c r="B51" s="5">
        <v>18812264</v>
      </c>
      <c r="C51" s="5">
        <v>30401286</v>
      </c>
      <c r="D51" s="5">
        <v>82100243</v>
      </c>
      <c r="E51" s="5">
        <v>1390244</v>
      </c>
      <c r="F51" s="5">
        <v>60504420</v>
      </c>
      <c r="G51" s="5">
        <v>58682466</v>
      </c>
      <c r="H51" s="5">
        <v>56916317</v>
      </c>
      <c r="I51" s="5">
        <v>126631000</v>
      </c>
      <c r="J51" s="5">
        <v>96334810</v>
      </c>
      <c r="K51" s="5">
        <v>63185615</v>
      </c>
      <c r="L51" s="5">
        <v>279040000</v>
      </c>
    </row>
    <row r="52" spans="1:12" x14ac:dyDescent="0.2">
      <c r="A52" s="2">
        <v>36526</v>
      </c>
      <c r="B52" s="5">
        <v>19028802</v>
      </c>
      <c r="C52" s="5">
        <v>30685730</v>
      </c>
      <c r="D52" s="5">
        <v>82211508</v>
      </c>
      <c r="E52" s="5">
        <v>1396985</v>
      </c>
      <c r="F52" s="5">
        <v>60921384</v>
      </c>
      <c r="G52" s="5">
        <v>58892514</v>
      </c>
      <c r="H52" s="5">
        <v>56942108</v>
      </c>
      <c r="I52" s="5">
        <v>126843000</v>
      </c>
      <c r="J52" s="5">
        <v>97873442</v>
      </c>
      <c r="K52" s="5">
        <v>64113547</v>
      </c>
      <c r="L52" s="5">
        <v>282162411</v>
      </c>
    </row>
    <row r="53" spans="1:12" x14ac:dyDescent="0.2">
      <c r="A53" s="2">
        <v>36892</v>
      </c>
      <c r="B53" s="5">
        <v>19274701</v>
      </c>
      <c r="C53" s="5">
        <v>31020855</v>
      </c>
      <c r="D53" s="5">
        <v>82349925</v>
      </c>
      <c r="E53" s="5">
        <v>1388115</v>
      </c>
      <c r="F53" s="5">
        <v>61367388</v>
      </c>
      <c r="G53" s="5">
        <v>59119673</v>
      </c>
      <c r="H53" s="5">
        <v>56974100</v>
      </c>
      <c r="I53" s="5">
        <v>127149000</v>
      </c>
      <c r="J53" s="5">
        <v>99394288</v>
      </c>
      <c r="K53" s="5">
        <v>65072018</v>
      </c>
      <c r="L53" s="5">
        <v>284968955</v>
      </c>
    </row>
    <row r="54" spans="1:12" x14ac:dyDescent="0.2">
      <c r="A54" s="2">
        <v>37257</v>
      </c>
      <c r="B54" s="5">
        <v>19495210</v>
      </c>
      <c r="C54" s="5">
        <v>31359199</v>
      </c>
      <c r="D54" s="5">
        <v>82488495</v>
      </c>
      <c r="E54" s="5">
        <v>1379350</v>
      </c>
      <c r="F54" s="5">
        <v>61816234</v>
      </c>
      <c r="G54" s="5">
        <v>59370479</v>
      </c>
      <c r="H54" s="5">
        <v>57059007</v>
      </c>
      <c r="I54" s="5">
        <v>127445000</v>
      </c>
      <c r="J54" s="5">
        <v>100917081</v>
      </c>
      <c r="K54" s="5">
        <v>65988663</v>
      </c>
      <c r="L54" s="5">
        <v>287625193</v>
      </c>
    </row>
    <row r="55" spans="1:12" x14ac:dyDescent="0.2">
      <c r="A55" s="2">
        <v>37622</v>
      </c>
      <c r="B55" s="5">
        <v>19720737</v>
      </c>
      <c r="C55" s="5">
        <v>31642461</v>
      </c>
      <c r="D55" s="5">
        <v>82534176</v>
      </c>
      <c r="E55" s="5">
        <v>1370720</v>
      </c>
      <c r="F55" s="5">
        <v>62256970</v>
      </c>
      <c r="G55" s="5">
        <v>59647577</v>
      </c>
      <c r="H55" s="5">
        <v>57313203</v>
      </c>
      <c r="I55" s="5">
        <v>127718000</v>
      </c>
      <c r="J55" s="5">
        <v>102429341</v>
      </c>
      <c r="K55" s="5">
        <v>66867327</v>
      </c>
      <c r="L55" s="5">
        <v>290107933</v>
      </c>
    </row>
    <row r="56" spans="1:12" x14ac:dyDescent="0.2">
      <c r="A56" s="2">
        <v>37987</v>
      </c>
      <c r="B56" s="5">
        <v>19932722</v>
      </c>
      <c r="C56" s="5">
        <v>31938807</v>
      </c>
      <c r="D56" s="5">
        <v>82516260</v>
      </c>
      <c r="E56" s="5">
        <v>1362550</v>
      </c>
      <c r="F56" s="5">
        <v>62716306</v>
      </c>
      <c r="G56" s="5">
        <v>59987905</v>
      </c>
      <c r="H56" s="5">
        <v>57685327</v>
      </c>
      <c r="I56" s="5">
        <v>127761000</v>
      </c>
      <c r="J56" s="5">
        <v>103945813</v>
      </c>
      <c r="K56" s="5">
        <v>67785075</v>
      </c>
      <c r="L56" s="5">
        <v>292805298</v>
      </c>
    </row>
    <row r="57" spans="1:12" x14ac:dyDescent="0.2">
      <c r="A57" s="2">
        <v>38353</v>
      </c>
      <c r="B57" s="5">
        <v>20176844</v>
      </c>
      <c r="C57" s="5">
        <v>32242732</v>
      </c>
      <c r="D57" s="5">
        <v>82469422</v>
      </c>
      <c r="E57" s="5">
        <v>1354775</v>
      </c>
      <c r="F57" s="5">
        <v>63188395</v>
      </c>
      <c r="G57" s="5">
        <v>60401206</v>
      </c>
      <c r="H57" s="5">
        <v>57969484</v>
      </c>
      <c r="I57" s="5">
        <v>127773000</v>
      </c>
      <c r="J57" s="5">
        <v>105442402</v>
      </c>
      <c r="K57" s="5">
        <v>68704715</v>
      </c>
      <c r="L57" s="5">
        <v>295516599</v>
      </c>
    </row>
    <row r="58" spans="1:12" x14ac:dyDescent="0.2">
      <c r="A58" s="2">
        <v>38718</v>
      </c>
      <c r="B58" s="5">
        <v>20450966</v>
      </c>
      <c r="C58" s="5">
        <v>32571193</v>
      </c>
      <c r="D58" s="5">
        <v>82376451</v>
      </c>
      <c r="E58" s="5">
        <v>1346810</v>
      </c>
      <c r="F58" s="5">
        <v>63628261</v>
      </c>
      <c r="G58" s="5">
        <v>60846820</v>
      </c>
      <c r="H58" s="5">
        <v>58143979</v>
      </c>
      <c r="I58" s="5">
        <v>127854000</v>
      </c>
      <c r="J58" s="5">
        <v>106886790</v>
      </c>
      <c r="K58" s="5">
        <v>69601333</v>
      </c>
      <c r="L58" s="5">
        <v>298379912</v>
      </c>
    </row>
    <row r="59" spans="1:12" x14ac:dyDescent="0.2">
      <c r="A59" s="2">
        <v>39083</v>
      </c>
      <c r="B59" s="5">
        <v>20827622</v>
      </c>
      <c r="C59" s="5">
        <v>32888886</v>
      </c>
      <c r="D59" s="5">
        <v>82266372</v>
      </c>
      <c r="E59" s="5">
        <v>1340680</v>
      </c>
      <c r="F59" s="5">
        <v>64021737</v>
      </c>
      <c r="G59" s="5">
        <v>61322463</v>
      </c>
      <c r="H59" s="5">
        <v>58438310</v>
      </c>
      <c r="I59" s="5">
        <v>128001000</v>
      </c>
      <c r="J59" s="5">
        <v>108302973</v>
      </c>
      <c r="K59" s="5">
        <v>70158112</v>
      </c>
      <c r="L59" s="5">
        <v>301231207</v>
      </c>
    </row>
    <row r="60" spans="1:12" x14ac:dyDescent="0.2">
      <c r="A60" s="2">
        <v>39448</v>
      </c>
      <c r="B60" s="5">
        <v>21249199</v>
      </c>
      <c r="C60" s="5">
        <v>33247298</v>
      </c>
      <c r="D60" s="5">
        <v>82110097</v>
      </c>
      <c r="E60" s="5">
        <v>1337090</v>
      </c>
      <c r="F60" s="5">
        <v>64379696</v>
      </c>
      <c r="G60" s="5">
        <v>61806995</v>
      </c>
      <c r="H60" s="5">
        <v>58826731</v>
      </c>
      <c r="I60" s="5">
        <v>128063000</v>
      </c>
      <c r="J60" s="5">
        <v>109684489</v>
      </c>
      <c r="K60" s="5">
        <v>71051678</v>
      </c>
      <c r="L60" s="5">
        <v>304093966</v>
      </c>
    </row>
    <row r="61" spans="1:12" x14ac:dyDescent="0.2">
      <c r="A61" s="2">
        <v>39814</v>
      </c>
      <c r="B61" s="5">
        <v>21691653</v>
      </c>
      <c r="C61" s="5">
        <v>33630069</v>
      </c>
      <c r="D61" s="5">
        <v>81902307</v>
      </c>
      <c r="E61" s="5">
        <v>1334515</v>
      </c>
      <c r="F61" s="5">
        <v>64710879</v>
      </c>
      <c r="G61" s="5">
        <v>62276270</v>
      </c>
      <c r="H61" s="5">
        <v>59095365</v>
      </c>
      <c r="I61" s="5">
        <v>128047000</v>
      </c>
      <c r="J61" s="5">
        <v>111049428</v>
      </c>
      <c r="K61" s="5">
        <v>72039206</v>
      </c>
      <c r="L61" s="5">
        <v>306771529</v>
      </c>
    </row>
    <row r="62" spans="1:12" x14ac:dyDescent="0.2">
      <c r="A62" s="2">
        <v>40179</v>
      </c>
      <c r="B62" s="5">
        <v>22031750</v>
      </c>
      <c r="C62" s="5">
        <v>34005902</v>
      </c>
      <c r="D62" s="5">
        <v>81776930</v>
      </c>
      <c r="E62" s="5">
        <v>1331475</v>
      </c>
      <c r="F62" s="5">
        <v>65030575</v>
      </c>
      <c r="G62" s="5">
        <v>62766365</v>
      </c>
      <c r="H62" s="5">
        <v>59277417</v>
      </c>
      <c r="I62" s="5">
        <v>128070000</v>
      </c>
      <c r="J62" s="5">
        <v>112532401</v>
      </c>
      <c r="K62" s="5">
        <v>73142150</v>
      </c>
      <c r="L62" s="5">
        <v>309327143</v>
      </c>
    </row>
    <row r="63" spans="1:12" x14ac:dyDescent="0.2">
      <c r="A63" s="2">
        <v>40544</v>
      </c>
      <c r="B63" s="5">
        <v>22340024</v>
      </c>
      <c r="C63" s="5">
        <v>34339221</v>
      </c>
      <c r="D63" s="5">
        <v>80274983</v>
      </c>
      <c r="E63" s="5">
        <v>1327439</v>
      </c>
      <c r="F63" s="5">
        <v>65345233</v>
      </c>
      <c r="G63" s="5">
        <v>63258810</v>
      </c>
      <c r="H63" s="5">
        <v>59379449</v>
      </c>
      <c r="I63" s="5">
        <v>127833000</v>
      </c>
      <c r="J63" s="5">
        <v>114150481</v>
      </c>
      <c r="K63" s="5">
        <v>74223629</v>
      </c>
      <c r="L63" s="5">
        <v>311583481</v>
      </c>
    </row>
    <row r="64" spans="1:12" x14ac:dyDescent="0.2">
      <c r="A64" s="2">
        <v>40909</v>
      </c>
      <c r="B64" s="5">
        <v>22733465</v>
      </c>
      <c r="C64" s="5">
        <v>34713395</v>
      </c>
      <c r="D64" s="5">
        <v>80425823</v>
      </c>
      <c r="E64" s="5">
        <v>1322696</v>
      </c>
      <c r="F64" s="5">
        <v>65662240</v>
      </c>
      <c r="G64" s="5">
        <v>63700215</v>
      </c>
      <c r="H64" s="5">
        <v>59539717</v>
      </c>
      <c r="I64" s="5">
        <v>127629000</v>
      </c>
      <c r="J64" s="5">
        <v>115755909</v>
      </c>
      <c r="K64" s="5">
        <v>75175827</v>
      </c>
      <c r="L64" s="5">
        <v>313877662</v>
      </c>
    </row>
    <row r="65" spans="1:12" x14ac:dyDescent="0.2">
      <c r="A65" s="2">
        <v>41275</v>
      </c>
      <c r="B65" s="5">
        <v>23128129</v>
      </c>
      <c r="C65" s="5">
        <v>35080992</v>
      </c>
      <c r="D65" s="5">
        <v>80645605</v>
      </c>
      <c r="E65" s="5">
        <v>1317997</v>
      </c>
      <c r="F65" s="5">
        <v>66002289</v>
      </c>
      <c r="G65" s="5">
        <v>64128273</v>
      </c>
      <c r="H65" s="5">
        <v>60233948</v>
      </c>
      <c r="I65" s="5">
        <v>127445000</v>
      </c>
      <c r="J65" s="5">
        <v>117290686</v>
      </c>
      <c r="K65" s="5">
        <v>76147624</v>
      </c>
      <c r="L65" s="5">
        <v>316059947</v>
      </c>
    </row>
    <row r="66" spans="1:12" x14ac:dyDescent="0.2">
      <c r="A66" s="2">
        <v>41640</v>
      </c>
      <c r="B66" s="5">
        <v>23475686</v>
      </c>
      <c r="C66" s="5">
        <v>35434066</v>
      </c>
      <c r="D66" s="5">
        <v>80982500</v>
      </c>
      <c r="E66" s="5">
        <v>1314545</v>
      </c>
      <c r="F66" s="5">
        <v>66312067</v>
      </c>
      <c r="G66" s="5">
        <v>64602298</v>
      </c>
      <c r="H66" s="5">
        <v>60789140</v>
      </c>
      <c r="I66" s="5">
        <v>127276000</v>
      </c>
      <c r="J66" s="5">
        <v>118755887</v>
      </c>
      <c r="K66" s="5">
        <v>77181884</v>
      </c>
      <c r="L66" s="5">
        <v>318386329</v>
      </c>
    </row>
    <row r="67" spans="1:12" x14ac:dyDescent="0.2">
      <c r="A67" s="2">
        <v>42005</v>
      </c>
      <c r="B67" s="5">
        <v>23815995</v>
      </c>
      <c r="C67" s="5">
        <v>35704498</v>
      </c>
      <c r="D67" s="5">
        <v>81686611</v>
      </c>
      <c r="E67" s="5">
        <v>1315407</v>
      </c>
      <c r="F67" s="5">
        <v>66548272</v>
      </c>
      <c r="G67" s="5">
        <v>65116219</v>
      </c>
      <c r="H67" s="5">
        <v>60730582</v>
      </c>
      <c r="I67" s="5">
        <v>127141000</v>
      </c>
      <c r="J67" s="5">
        <v>120149897</v>
      </c>
      <c r="K67" s="5">
        <v>78218479</v>
      </c>
      <c r="L67" s="5">
        <v>320738994</v>
      </c>
    </row>
    <row r="68" spans="1:12" x14ac:dyDescent="0.2">
      <c r="A68" s="2">
        <v>42370</v>
      </c>
      <c r="B68" s="5">
        <v>24190907</v>
      </c>
      <c r="C68" s="5">
        <v>36110803</v>
      </c>
      <c r="D68" s="5">
        <v>82348669</v>
      </c>
      <c r="E68" s="5">
        <v>1315790</v>
      </c>
      <c r="F68" s="5">
        <v>66724104</v>
      </c>
      <c r="G68" s="5">
        <v>65611593</v>
      </c>
      <c r="H68" s="5">
        <v>60627498</v>
      </c>
      <c r="I68" s="5">
        <v>127076000</v>
      </c>
      <c r="J68" s="5">
        <v>121519221</v>
      </c>
      <c r="K68" s="5">
        <v>79277962</v>
      </c>
      <c r="L68" s="5">
        <v>323071755</v>
      </c>
    </row>
    <row r="69" spans="1:12" x14ac:dyDescent="0.2">
      <c r="A69" s="2">
        <v>42736</v>
      </c>
      <c r="B69" s="5">
        <v>24592588</v>
      </c>
      <c r="C69" s="5">
        <v>36545075</v>
      </c>
      <c r="D69" s="5">
        <v>82657002</v>
      </c>
      <c r="E69" s="5">
        <v>1317384</v>
      </c>
      <c r="F69" s="5">
        <v>66918020</v>
      </c>
      <c r="G69" s="5">
        <v>66058859</v>
      </c>
      <c r="H69" s="5">
        <v>60536709</v>
      </c>
      <c r="I69" s="5">
        <v>126972000</v>
      </c>
      <c r="J69" s="5">
        <v>122839258</v>
      </c>
      <c r="K69" s="5">
        <v>80312698</v>
      </c>
      <c r="L69" s="5">
        <v>325122128</v>
      </c>
    </row>
    <row r="70" spans="1:12" x14ac:dyDescent="0.2">
      <c r="A70" s="2">
        <v>43101</v>
      </c>
      <c r="B70" s="5">
        <v>24963258</v>
      </c>
      <c r="C70" s="5">
        <v>37072620</v>
      </c>
      <c r="D70" s="5">
        <v>82905782</v>
      </c>
      <c r="E70" s="5">
        <v>1321977</v>
      </c>
      <c r="F70" s="5">
        <v>67158348</v>
      </c>
      <c r="G70" s="5">
        <v>66460344</v>
      </c>
      <c r="H70" s="5">
        <v>60421760</v>
      </c>
      <c r="I70" s="5">
        <v>126811000</v>
      </c>
      <c r="J70" s="5">
        <v>124013861</v>
      </c>
      <c r="K70" s="5">
        <v>81407204</v>
      </c>
      <c r="L70" s="5">
        <v>326838199</v>
      </c>
    </row>
    <row r="71" spans="1:12" x14ac:dyDescent="0.2">
      <c r="A71" s="2">
        <v>43466</v>
      </c>
      <c r="B71" s="5">
        <v>25334826</v>
      </c>
      <c r="C71" s="5">
        <v>37618495</v>
      </c>
      <c r="D71" s="5">
        <v>83092962</v>
      </c>
      <c r="E71" s="5">
        <v>1326898</v>
      </c>
      <c r="F71" s="5">
        <v>67388001</v>
      </c>
      <c r="G71" s="5">
        <v>66836327</v>
      </c>
      <c r="H71" s="5">
        <v>59729081</v>
      </c>
      <c r="I71" s="5">
        <v>126633000</v>
      </c>
      <c r="J71" s="5">
        <v>125085311</v>
      </c>
      <c r="K71" s="5">
        <v>82579440</v>
      </c>
      <c r="L71" s="5">
        <v>328329953</v>
      </c>
    </row>
    <row r="72" spans="1:12" x14ac:dyDescent="0.2">
      <c r="A72" s="2">
        <v>43831</v>
      </c>
      <c r="B72" s="5">
        <v>25649248</v>
      </c>
      <c r="C72" s="5">
        <v>38028638</v>
      </c>
      <c r="D72" s="5">
        <v>83160871</v>
      </c>
      <c r="E72" s="5">
        <v>1329522</v>
      </c>
      <c r="F72" s="5">
        <v>67571107</v>
      </c>
      <c r="G72" s="5">
        <v>67081234</v>
      </c>
      <c r="H72" s="5">
        <v>59438851</v>
      </c>
      <c r="I72" s="5">
        <v>126261000</v>
      </c>
      <c r="J72" s="5">
        <v>125998302</v>
      </c>
      <c r="K72" s="5">
        <v>83384680</v>
      </c>
      <c r="L72" s="5">
        <v>331526933</v>
      </c>
    </row>
    <row r="73" spans="1:12" x14ac:dyDescent="0.2">
      <c r="A73" s="2">
        <v>44197</v>
      </c>
      <c r="B73" s="5">
        <v>25685412</v>
      </c>
      <c r="C73" s="5">
        <v>38239864</v>
      </c>
      <c r="D73" s="5">
        <v>83196078</v>
      </c>
      <c r="E73" s="5">
        <v>1330932</v>
      </c>
      <c r="F73" s="5">
        <v>67764304</v>
      </c>
      <c r="G73" s="5">
        <v>67026292</v>
      </c>
      <c r="H73" s="5">
        <v>59133173</v>
      </c>
      <c r="I73" s="5">
        <v>125681593</v>
      </c>
      <c r="J73" s="5">
        <v>126705138</v>
      </c>
      <c r="K73" s="5">
        <v>84147318</v>
      </c>
      <c r="L73" s="5">
        <v>332048977</v>
      </c>
    </row>
    <row r="74" spans="1:12" x14ac:dyDescent="0.2">
      <c r="A74" s="2">
        <v>44562</v>
      </c>
      <c r="B74" s="5">
        <v>26014399</v>
      </c>
      <c r="C74" s="5">
        <v>38939056</v>
      </c>
      <c r="D74" s="5">
        <v>83797985</v>
      </c>
      <c r="E74" s="5">
        <v>1348840</v>
      </c>
      <c r="F74" s="5">
        <v>67971311</v>
      </c>
      <c r="G74" s="5">
        <v>67791000</v>
      </c>
      <c r="H74" s="5">
        <v>58940425</v>
      </c>
      <c r="I74" s="5">
        <v>125124989</v>
      </c>
      <c r="J74" s="5">
        <v>127504125</v>
      </c>
      <c r="K74" s="5">
        <v>84979913</v>
      </c>
      <c r="L74" s="5">
        <v>333271411</v>
      </c>
    </row>
    <row r="75" spans="1:12" x14ac:dyDescent="0.2">
      <c r="A75" s="2">
        <v>44927</v>
      </c>
      <c r="B75" s="5">
        <v>26638544</v>
      </c>
      <c r="C75" s="5">
        <v>40097761</v>
      </c>
      <c r="D75" s="5">
        <v>84482267</v>
      </c>
      <c r="E75" s="5">
        <v>1366188</v>
      </c>
      <c r="F75" s="5">
        <v>68170228</v>
      </c>
      <c r="G75" s="5">
        <v>68350000</v>
      </c>
      <c r="H75" s="5">
        <v>58761146</v>
      </c>
      <c r="I75" s="5">
        <v>124516650</v>
      </c>
      <c r="J75" s="5">
        <v>128455567</v>
      </c>
      <c r="K75" s="5">
        <v>85326000</v>
      </c>
      <c r="L75" s="5">
        <v>334914895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5740-57A0-41AE-89B1-0F879EDE3214}">
  <dimension ref="A1:X75"/>
  <sheetViews>
    <sheetView workbookViewId="0">
      <selection activeCell="H14" sqref="H14"/>
    </sheetView>
  </sheetViews>
  <sheetFormatPr defaultRowHeight="15" x14ac:dyDescent="0.25"/>
  <cols>
    <col min="1" max="1" width="12.7109375" style="1" customWidth="1"/>
  </cols>
  <sheetData>
    <row r="1" spans="1:12" x14ac:dyDescent="0.25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 x14ac:dyDescent="0.25">
      <c r="A2" s="2">
        <v>18264</v>
      </c>
      <c r="B2" t="str">
        <f>IF(GDP!B2=0,"",GDP!B2/('Capital Est'!B2^(1/3)*Pop!B2^(2/3)))</f>
        <v/>
      </c>
      <c r="C2" t="str">
        <f>IF(GDP!C2=0,"",GDP!C2/('Capital Est'!C2^(1/3)*Pop!C2^(2/3)))</f>
        <v/>
      </c>
      <c r="D2" t="str">
        <f>IF(GDP!D2=0,"",GDP!D2/('Capital Est'!D2^(1/3)*Pop!D2^(2/3)))</f>
        <v/>
      </c>
      <c r="E2" t="str">
        <f>IF(GDP!E2=0,"",GDP!E2/('Capital Est'!E2^(1/3)*Pop!E2^(2/3)))</f>
        <v/>
      </c>
      <c r="G2" t="str">
        <f>IF(GDP!G2=0,"",GDP!G2/('Capital Est'!G2^(1/3)*Pop!G2^(2/3)))</f>
        <v/>
      </c>
      <c r="H2" t="str">
        <f>IF(GDP!H2=0,"",GDP!H2/('Capital Est'!H2^(1/3)*Pop!H2^(2/3)))</f>
        <v/>
      </c>
      <c r="I2" t="str">
        <f>IF(GDP!I2=0,"",GDP!I2/('Capital Est'!I2^(1/3)*Pop!I2^(2/3)))</f>
        <v/>
      </c>
      <c r="J2" t="str">
        <f>IF(GDP!J2=0,"",GDP!J2/('Capital Est'!J2^(1/3)*Pop!J2^(2/3)))</f>
        <v/>
      </c>
      <c r="K2" t="str">
        <f>IF(GDP!K2=0,"",GDP!K2/('Capital Est'!K2^(1/3)*Pop!K2^(2/3)))</f>
        <v/>
      </c>
    </row>
    <row r="3" spans="1:12" x14ac:dyDescent="0.25">
      <c r="A3" s="2">
        <v>18629</v>
      </c>
      <c r="B3" t="str">
        <f>IF(GDP!B3=0,"",GDP!B3/('Capital Est'!B3^(1/3)*Pop!B3^(2/3)))</f>
        <v/>
      </c>
      <c r="C3" t="str">
        <f>IF(GDP!C3=0,"",GDP!C3/('Capital Est'!C3^(1/3)*Pop!C3^(2/3)))</f>
        <v/>
      </c>
      <c r="D3" t="str">
        <f>IF(GDP!D3=0,"",GDP!D3/('Capital Est'!D3^(1/3)*Pop!D3^(2/3)))</f>
        <v/>
      </c>
      <c r="E3" t="str">
        <f>IF(GDP!E3=0,"",GDP!E3/('Capital Est'!E3^(1/3)*Pop!E3^(2/3)))</f>
        <v/>
      </c>
      <c r="G3" t="str">
        <f>IF(GDP!G3=0,"",GDP!G3/('Capital Est'!G3^(1/3)*Pop!G3^(2/3)))</f>
        <v/>
      </c>
      <c r="H3" t="str">
        <f>IF(GDP!H3=0,"",GDP!H3/('Capital Est'!H3^(1/3)*Pop!H3^(2/3)))</f>
        <v/>
      </c>
      <c r="I3" t="str">
        <f>IF(GDP!I3=0,"",GDP!I3/('Capital Est'!I3^(1/3)*Pop!I3^(2/3)))</f>
        <v/>
      </c>
      <c r="J3" t="str">
        <f>IF(GDP!J3=0,"",GDP!J3/('Capital Est'!J3^(1/3)*Pop!J3^(2/3)))</f>
        <v/>
      </c>
      <c r="K3" t="str">
        <f>IF(GDP!K3=0,"",GDP!K3/('Capital Est'!K3^(1/3)*Pop!K3^(2/3)))</f>
        <v/>
      </c>
    </row>
    <row r="4" spans="1:12" x14ac:dyDescent="0.25">
      <c r="A4" s="2">
        <v>18994</v>
      </c>
      <c r="B4" t="str">
        <f>IF(GDP!B4=0,"",GDP!B4/('Capital Est'!B4^(1/3)*Pop!B4^(2/3)))</f>
        <v/>
      </c>
      <c r="C4" t="str">
        <f>IF(GDP!C4=0,"",GDP!C4/('Capital Est'!C4^(1/3)*Pop!C4^(2/3)))</f>
        <v/>
      </c>
      <c r="D4" t="str">
        <f>IF(GDP!D4=0,"",GDP!D4/('Capital Est'!D4^(1/3)*Pop!D4^(2/3)))</f>
        <v/>
      </c>
      <c r="E4" t="str">
        <f>IF(GDP!E4=0,"",GDP!E4/('Capital Est'!E4^(1/3)*Pop!E4^(2/3)))</f>
        <v/>
      </c>
      <c r="G4" t="str">
        <f>IF(GDP!G4=0,"",GDP!G4/('Capital Est'!G4^(1/3)*Pop!G4^(2/3)))</f>
        <v/>
      </c>
      <c r="H4" t="str">
        <f>IF(GDP!H4=0,"",GDP!H4/('Capital Est'!H4^(1/3)*Pop!H4^(2/3)))</f>
        <v/>
      </c>
      <c r="I4" t="str">
        <f>IF(GDP!I4=0,"",GDP!I4/('Capital Est'!I4^(1/3)*Pop!I4^(2/3)))</f>
        <v/>
      </c>
      <c r="J4" t="str">
        <f>IF(GDP!J4=0,"",GDP!J4/('Capital Est'!J4^(1/3)*Pop!J4^(2/3)))</f>
        <v/>
      </c>
      <c r="K4" t="str">
        <f>IF(GDP!K4=0,"",GDP!K4/('Capital Est'!K4^(1/3)*Pop!K4^(2/3)))</f>
        <v/>
      </c>
    </row>
    <row r="5" spans="1:12" x14ac:dyDescent="0.25">
      <c r="A5" s="2">
        <v>19360</v>
      </c>
      <c r="B5" t="str">
        <f>IF(GDP!B5=0,"",GDP!B5/('Capital Est'!B5^(1/3)*Pop!B5^(2/3)))</f>
        <v/>
      </c>
      <c r="C5" t="str">
        <f>IF(GDP!C5=0,"",GDP!C5/('Capital Est'!C5^(1/3)*Pop!C5^(2/3)))</f>
        <v/>
      </c>
      <c r="D5" t="str">
        <f>IF(GDP!D5=0,"",GDP!D5/('Capital Est'!D5^(1/3)*Pop!D5^(2/3)))</f>
        <v/>
      </c>
      <c r="E5" t="str">
        <f>IF(GDP!E5=0,"",GDP!E5/('Capital Est'!E5^(1/3)*Pop!E5^(2/3)))</f>
        <v/>
      </c>
      <c r="G5" t="str">
        <f>IF(GDP!G5=0,"",GDP!G5/('Capital Est'!G5^(1/3)*Pop!G5^(2/3)))</f>
        <v/>
      </c>
      <c r="H5" t="str">
        <f>IF(GDP!H5=0,"",GDP!H5/('Capital Est'!H5^(1/3)*Pop!H5^(2/3)))</f>
        <v/>
      </c>
      <c r="I5" t="str">
        <f>IF(GDP!I5=0,"",GDP!I5/('Capital Est'!I5^(1/3)*Pop!I5^(2/3)))</f>
        <v/>
      </c>
      <c r="J5" t="str">
        <f>IF(GDP!J5=0,"",GDP!J5/('Capital Est'!J5^(1/3)*Pop!J5^(2/3)))</f>
        <v/>
      </c>
      <c r="K5" t="str">
        <f>IF(GDP!K5=0,"",GDP!K5/('Capital Est'!K5^(1/3)*Pop!K5^(2/3)))</f>
        <v/>
      </c>
    </row>
    <row r="6" spans="1:12" x14ac:dyDescent="0.25">
      <c r="A6" s="2">
        <v>19725</v>
      </c>
      <c r="B6" t="str">
        <f>IF(GDP!B6=0,"",GDP!B6/('Capital Est'!B6^(1/3)*Pop!B6^(2/3)))</f>
        <v/>
      </c>
      <c r="C6" t="str">
        <f>IF(GDP!C6=0,"",GDP!C6/('Capital Est'!C6^(1/3)*Pop!C6^(2/3)))</f>
        <v/>
      </c>
      <c r="D6" t="str">
        <f>IF(GDP!D6=0,"",GDP!D6/('Capital Est'!D6^(1/3)*Pop!D6^(2/3)))</f>
        <v/>
      </c>
      <c r="E6" t="str">
        <f>IF(GDP!E6=0,"",GDP!E6/('Capital Est'!E6^(1/3)*Pop!E6^(2/3)))</f>
        <v/>
      </c>
      <c r="G6" t="str">
        <f>IF(GDP!G6=0,"",GDP!G6/('Capital Est'!G6^(1/3)*Pop!G6^(2/3)))</f>
        <v/>
      </c>
      <c r="H6" t="str">
        <f>IF(GDP!H6=0,"",GDP!H6/('Capital Est'!H6^(1/3)*Pop!H6^(2/3)))</f>
        <v/>
      </c>
      <c r="I6" t="str">
        <f>IF(GDP!I6=0,"",GDP!I6/('Capital Est'!I6^(1/3)*Pop!I6^(2/3)))</f>
        <v/>
      </c>
      <c r="J6" t="str">
        <f>IF(GDP!J6=0,"",GDP!J6/('Capital Est'!J6^(1/3)*Pop!J6^(2/3)))</f>
        <v/>
      </c>
      <c r="K6" t="str">
        <f>IF(GDP!K6=0,"",GDP!K6/('Capital Est'!K6^(1/3)*Pop!K6^(2/3)))</f>
        <v/>
      </c>
    </row>
    <row r="7" spans="1:12" x14ac:dyDescent="0.25">
      <c r="A7" s="2">
        <v>20090</v>
      </c>
      <c r="B7" t="str">
        <f>IF(GDP!B7=0,"",GDP!B7/('Capital Est'!B7^(1/3)*Pop!B7^(2/3)))</f>
        <v/>
      </c>
      <c r="C7" t="str">
        <f>IF(GDP!C7=0,"",GDP!C7/('Capital Est'!C7^(1/3)*Pop!C7^(2/3)))</f>
        <v/>
      </c>
      <c r="D7" t="str">
        <f>IF(GDP!D7=0,"",GDP!D7/('Capital Est'!D7^(1/3)*Pop!D7^(2/3)))</f>
        <v/>
      </c>
      <c r="E7" t="str">
        <f>IF(GDP!E7=0,"",GDP!E7/('Capital Est'!E7^(1/3)*Pop!E7^(2/3)))</f>
        <v/>
      </c>
      <c r="G7" t="str">
        <f>IF(GDP!G7=0,"",GDP!G7/('Capital Est'!G7^(1/3)*Pop!G7^(2/3)))</f>
        <v/>
      </c>
      <c r="H7" t="str">
        <f>IF(GDP!H7=0,"",GDP!H7/('Capital Est'!H7^(1/3)*Pop!H7^(2/3)))</f>
        <v/>
      </c>
      <c r="I7" t="str">
        <f>IF(GDP!I7=0,"",GDP!I7/('Capital Est'!I7^(1/3)*Pop!I7^(2/3)))</f>
        <v/>
      </c>
      <c r="J7" t="str">
        <f>IF(GDP!J7=0,"",GDP!J7/('Capital Est'!J7^(1/3)*Pop!J7^(2/3)))</f>
        <v/>
      </c>
      <c r="K7" t="str">
        <f>IF(GDP!K7=0,"",GDP!K7/('Capital Est'!K7^(1/3)*Pop!K7^(2/3)))</f>
        <v/>
      </c>
    </row>
    <row r="8" spans="1:12" x14ac:dyDescent="0.25">
      <c r="A8" s="2">
        <v>20455</v>
      </c>
      <c r="B8" t="str">
        <f>IF(GDP!B8=0,"",GDP!B8/('Capital Est'!B8^(1/3)*Pop!B8^(2/3)))</f>
        <v/>
      </c>
      <c r="C8" t="str">
        <f>IF(GDP!C8=0,"",GDP!C8/('Capital Est'!C8^(1/3)*Pop!C8^(2/3)))</f>
        <v/>
      </c>
      <c r="D8" t="str">
        <f>IF(GDP!D8=0,"",GDP!D8/('Capital Est'!D8^(1/3)*Pop!D8^(2/3)))</f>
        <v/>
      </c>
      <c r="E8" t="str">
        <f>IF(GDP!E8=0,"",GDP!E8/('Capital Est'!E8^(1/3)*Pop!E8^(2/3)))</f>
        <v/>
      </c>
      <c r="G8" t="str">
        <f>IF(GDP!G8=0,"",GDP!G8/('Capital Est'!G8^(1/3)*Pop!G8^(2/3)))</f>
        <v/>
      </c>
      <c r="H8" t="str">
        <f>IF(GDP!H8=0,"",GDP!H8/('Capital Est'!H8^(1/3)*Pop!H8^(2/3)))</f>
        <v/>
      </c>
      <c r="I8" t="str">
        <f>IF(GDP!I8=0,"",GDP!I8/('Capital Est'!I8^(1/3)*Pop!I8^(2/3)))</f>
        <v/>
      </c>
      <c r="J8" t="str">
        <f>IF(GDP!J8=0,"",GDP!J8/('Capital Est'!J8^(1/3)*Pop!J8^(2/3)))</f>
        <v/>
      </c>
      <c r="K8" t="str">
        <f>IF(GDP!K8=0,"",GDP!K8/('Capital Est'!K8^(1/3)*Pop!K8^(2/3)))</f>
        <v/>
      </c>
    </row>
    <row r="9" spans="1:12" x14ac:dyDescent="0.25">
      <c r="A9" s="2">
        <v>20821</v>
      </c>
      <c r="B9" t="str">
        <f>IF(GDP!B9=0,"",GDP!B9/('Capital Est'!B9^(1/3)*Pop!B9^(2/3)))</f>
        <v/>
      </c>
      <c r="C9" t="str">
        <f>IF(GDP!C9=0,"",GDP!C9/('Capital Est'!C9^(1/3)*Pop!C9^(2/3)))</f>
        <v/>
      </c>
      <c r="D9" t="str">
        <f>IF(GDP!D9=0,"",GDP!D9/('Capital Est'!D9^(1/3)*Pop!D9^(2/3)))</f>
        <v/>
      </c>
      <c r="E9" t="str">
        <f>IF(GDP!E9=0,"",GDP!E9/('Capital Est'!E9^(1/3)*Pop!E9^(2/3)))</f>
        <v/>
      </c>
      <c r="G9" t="str">
        <f>IF(GDP!G9=0,"",GDP!G9/('Capital Est'!G9^(1/3)*Pop!G9^(2/3)))</f>
        <v/>
      </c>
      <c r="H9" t="str">
        <f>IF(GDP!H9=0,"",GDP!H9/('Capital Est'!H9^(1/3)*Pop!H9^(2/3)))</f>
        <v/>
      </c>
      <c r="I9" t="str">
        <f>IF(GDP!I9=0,"",GDP!I9/('Capital Est'!I9^(1/3)*Pop!I9^(2/3)))</f>
        <v/>
      </c>
      <c r="J9" t="str">
        <f>IF(GDP!J9=0,"",GDP!J9/('Capital Est'!J9^(1/3)*Pop!J9^(2/3)))</f>
        <v/>
      </c>
      <c r="K9" t="str">
        <f>IF(GDP!K9=0,"",GDP!K9/('Capital Est'!K9^(1/3)*Pop!K9^(2/3)))</f>
        <v/>
      </c>
    </row>
    <row r="10" spans="1:12" x14ac:dyDescent="0.25">
      <c r="A10" s="2">
        <v>21186</v>
      </c>
      <c r="B10" t="str">
        <f>IF(GDP!B10=0,"",GDP!B10/('Capital Est'!B10^(1/3)*Pop!B10^(2/3)))</f>
        <v/>
      </c>
      <c r="C10" t="str">
        <f>IF(GDP!C10=0,"",GDP!C10/('Capital Est'!C10^(1/3)*Pop!C10^(2/3)))</f>
        <v/>
      </c>
      <c r="D10" t="str">
        <f>IF(GDP!D10=0,"",GDP!D10/('Capital Est'!D10^(1/3)*Pop!D10^(2/3)))</f>
        <v/>
      </c>
      <c r="E10" t="str">
        <f>IF(GDP!E10=0,"",GDP!E10/('Capital Est'!E10^(1/3)*Pop!E10^(2/3)))</f>
        <v/>
      </c>
      <c r="G10" t="str">
        <f>IF(GDP!G10=0,"",GDP!G10/('Capital Est'!G10^(1/3)*Pop!G10^(2/3)))</f>
        <v/>
      </c>
      <c r="H10" t="str">
        <f>IF(GDP!H10=0,"",GDP!H10/('Capital Est'!H10^(1/3)*Pop!H10^(2/3)))</f>
        <v/>
      </c>
      <c r="I10" t="str">
        <f>IF(GDP!I10=0,"",GDP!I10/('Capital Est'!I10^(1/3)*Pop!I10^(2/3)))</f>
        <v/>
      </c>
      <c r="J10" t="str">
        <f>IF(GDP!J10=0,"",GDP!J10/('Capital Est'!J10^(1/3)*Pop!J10^(2/3)))</f>
        <v/>
      </c>
      <c r="K10" t="str">
        <f>IF(GDP!K10=0,"",GDP!K10/('Capital Est'!K10^(1/3)*Pop!K10^(2/3)))</f>
        <v/>
      </c>
    </row>
    <row r="11" spans="1:12" x14ac:dyDescent="0.25">
      <c r="A11" s="2">
        <v>21551</v>
      </c>
      <c r="B11" t="str">
        <f>IF(GDP!B11=0,"",GDP!B11/('Capital Est'!B11^(1/3)*Pop!B11^(2/3)))</f>
        <v/>
      </c>
      <c r="C11" t="str">
        <f>IF(GDP!C11=0,"",GDP!C11/('Capital Est'!C11^(1/3)*Pop!C11^(2/3)))</f>
        <v/>
      </c>
      <c r="D11" t="str">
        <f>IF(GDP!D11=0,"",GDP!D11/('Capital Est'!D11^(1/3)*Pop!D11^(2/3)))</f>
        <v/>
      </c>
      <c r="E11" t="str">
        <f>IF(GDP!E11=0,"",GDP!E11/('Capital Est'!E11^(1/3)*Pop!E11^(2/3)))</f>
        <v/>
      </c>
      <c r="G11" t="str">
        <f>IF(GDP!G11=0,"",GDP!G11/('Capital Est'!G11^(1/3)*Pop!G11^(2/3)))</f>
        <v/>
      </c>
      <c r="H11" t="str">
        <f>IF(GDP!H11=0,"",GDP!H11/('Capital Est'!H11^(1/3)*Pop!H11^(2/3)))</f>
        <v/>
      </c>
      <c r="I11" t="str">
        <f>IF(GDP!I11=0,"",GDP!I11/('Capital Est'!I11^(1/3)*Pop!I11^(2/3)))</f>
        <v/>
      </c>
      <c r="J11" t="str">
        <f>IF(GDP!J11=0,"",GDP!J11/('Capital Est'!J11^(1/3)*Pop!J11^(2/3)))</f>
        <v/>
      </c>
      <c r="K11" t="str">
        <f>IF(GDP!K11=0,"",GDP!K11/('Capital Est'!K11^(1/3)*Pop!K11^(2/3)))</f>
        <v/>
      </c>
    </row>
    <row r="12" spans="1:12" x14ac:dyDescent="0.25">
      <c r="A12" s="2">
        <v>21916</v>
      </c>
      <c r="B12">
        <f>IF(GDP!B12=0,"",GDP!B12/('Capital Est'!B12^(1/3)*Pop!B12^(2/3)))</f>
        <v>6.6519001056049423E-2</v>
      </c>
      <c r="C12" t="str">
        <f>IF(GDP!C12=0,"",GDP!C12/('Capital Est'!C12^(1/3)*Pop!C12^(2/3)))</f>
        <v/>
      </c>
      <c r="D12" t="str">
        <f>IF(GDP!D12=0,"",GDP!D12/('Capital Est'!D12^(1/3)*Pop!D12^(2/3)))</f>
        <v/>
      </c>
      <c r="E12" t="str">
        <f>IF(GDP!E12=0,"",GDP!E12/('Capital Est'!E12^(1/3)*Pop!E12^(2/3)))</f>
        <v/>
      </c>
      <c r="F12">
        <f>IF(GDP!F12=0,"",GDP!F12/('Capital Est'!F12^(1/3)*Pop!F12^(2/3)))</f>
        <v>3.1083263601809692E-2</v>
      </c>
      <c r="G12" t="str">
        <f>IF(GDP!G12=0,"",GDP!G12/('Capital Est'!G12^(1/3)*Pop!G12^(2/3)))</f>
        <v/>
      </c>
      <c r="H12" t="str">
        <f>IF(GDP!H12=0,"",GDP!H12/('Capital Est'!H12^(1/3)*Pop!H12^(2/3)))</f>
        <v/>
      </c>
      <c r="I12" t="str">
        <f>IF(GDP!I12=0,"",GDP!I12/('Capital Est'!I12^(1/3)*Pop!I12^(2/3)))</f>
        <v/>
      </c>
      <c r="J12" t="str">
        <f>IF(GDP!J12=0,"",GDP!J12/('Capital Est'!J12^(1/3)*Pop!J12^(2/3)))</f>
        <v/>
      </c>
      <c r="K12" t="str">
        <f>IF(GDP!K12=0,"",GDP!K12/('Capital Est'!K12^(1/3)*Pop!K12^(2/3)))</f>
        <v/>
      </c>
    </row>
    <row r="13" spans="1:12" x14ac:dyDescent="0.25">
      <c r="A13" s="2">
        <v>22282</v>
      </c>
      <c r="B13">
        <f>IF(GDP!B13=0,"",GDP!B13/('Capital Est'!B13^(1/3)*Pop!B13^(2/3)))</f>
        <v>6.5364103806520066E-2</v>
      </c>
      <c r="C13">
        <f>IF(GDP!C13=0,"",GDP!C13/('Capital Est'!C13^(1/3)*Pop!C13^(2/3)))</f>
        <v>5.1793966267200578E-2</v>
      </c>
      <c r="D13" t="str">
        <f>IF(GDP!D13=0,"",GDP!D13/('Capital Est'!D13^(1/3)*Pop!D13^(2/3)))</f>
        <v/>
      </c>
      <c r="E13" t="str">
        <f>IF(GDP!E13=0,"",GDP!E13/('Capital Est'!E13^(1/3)*Pop!E13^(2/3)))</f>
        <v/>
      </c>
      <c r="F13">
        <f>IF(GDP!F13=0,"",GDP!F13/('Capital Est'!F13^(1/3)*Pop!F13^(2/3)))</f>
        <v>3.1949250273522425E-2</v>
      </c>
      <c r="G13" t="str">
        <f>IF(GDP!G13=0,"",GDP!G13/('Capital Est'!G13^(1/3)*Pop!G13^(2/3)))</f>
        <v/>
      </c>
      <c r="H13" t="str">
        <f>IF(GDP!H13=0,"",GDP!H13/('Capital Est'!H13^(1/3)*Pop!H13^(2/3)))</f>
        <v/>
      </c>
      <c r="I13" t="str">
        <f>IF(GDP!I13=0,"",GDP!I13/('Capital Est'!I13^(1/3)*Pop!I13^(2/3)))</f>
        <v/>
      </c>
      <c r="J13" t="str">
        <f>IF(GDP!J13=0,"",GDP!J13/('Capital Est'!J13^(1/3)*Pop!J13^(2/3)))</f>
        <v/>
      </c>
      <c r="K13" t="str">
        <f>IF(GDP!K13=0,"",GDP!K13/('Capital Est'!K13^(1/3)*Pop!K13^(2/3)))</f>
        <v/>
      </c>
    </row>
    <row r="14" spans="1:12" x14ac:dyDescent="0.25">
      <c r="A14" s="2">
        <v>22647</v>
      </c>
      <c r="B14">
        <f>IF(GDP!B14=0,"",GDP!B14/('Capital Est'!B14^(1/3)*Pop!B14^(2/3)))</f>
        <v>6.7525271466706116E-2</v>
      </c>
      <c r="C14">
        <f>IF(GDP!C14=0,"",GDP!C14/('Capital Est'!C14^(1/3)*Pop!C14^(2/3)))</f>
        <v>5.4569066129021876E-2</v>
      </c>
      <c r="D14" t="str">
        <f>IF(GDP!D14=0,"",GDP!D14/('Capital Est'!D14^(1/3)*Pop!D14^(2/3)))</f>
        <v/>
      </c>
      <c r="E14" t="str">
        <f>IF(GDP!E14=0,"",GDP!E14/('Capital Est'!E14^(1/3)*Pop!E14^(2/3)))</f>
        <v/>
      </c>
      <c r="F14">
        <f>IF(GDP!F14=0,"",GDP!F14/('Capital Est'!F14^(1/3)*Pop!F14^(2/3)))</f>
        <v>3.3414088006109052E-2</v>
      </c>
      <c r="G14" t="str">
        <f>IF(GDP!G14=0,"",GDP!G14/('Capital Est'!G14^(1/3)*Pop!G14^(2/3)))</f>
        <v/>
      </c>
      <c r="H14" t="str">
        <f>IF(GDP!H14=0,"",GDP!H14/('Capital Est'!H14^(1/3)*Pop!H14^(2/3)))</f>
        <v/>
      </c>
      <c r="I14" t="str">
        <f>IF(GDP!I14=0,"",GDP!I14/('Capital Est'!I14^(1/3)*Pop!I14^(2/3)))</f>
        <v/>
      </c>
      <c r="J14" t="str">
        <f>IF(GDP!J14=0,"",GDP!J14/('Capital Est'!J14^(1/3)*Pop!J14^(2/3)))</f>
        <v/>
      </c>
      <c r="K14" t="str">
        <f>IF(GDP!K14=0,"",GDP!K14/('Capital Est'!K14^(1/3)*Pop!K14^(2/3)))</f>
        <v/>
      </c>
    </row>
    <row r="15" spans="1:12" x14ac:dyDescent="0.25">
      <c r="A15" s="2">
        <v>23012</v>
      </c>
      <c r="B15">
        <f>IF(GDP!B15=0,"",GDP!B15/('Capital Est'!B15^(1/3)*Pop!B15^(2/3)))</f>
        <v>7.035182416441145E-2</v>
      </c>
      <c r="C15">
        <f>IF(GDP!C15=0,"",GDP!C15/('Capital Est'!C15^(1/3)*Pop!C15^(2/3)))</f>
        <v>5.6334202975426982E-2</v>
      </c>
      <c r="D15" t="str">
        <f>IF(GDP!D15=0,"",GDP!D15/('Capital Est'!D15^(1/3)*Pop!D15^(2/3)))</f>
        <v/>
      </c>
      <c r="E15" t="str">
        <f>IF(GDP!E15=0,"",GDP!E15/('Capital Est'!E15^(1/3)*Pop!E15^(2/3)))</f>
        <v/>
      </c>
      <c r="F15">
        <f>IF(GDP!F15=0,"",GDP!F15/('Capital Est'!F15^(1/3)*Pop!F15^(2/3)))</f>
        <v>3.4672161774117187E-2</v>
      </c>
      <c r="G15" t="str">
        <f>IF(GDP!G15=0,"",GDP!G15/('Capital Est'!G15^(1/3)*Pop!G15^(2/3)))</f>
        <v/>
      </c>
      <c r="H15" t="str">
        <f>IF(GDP!H15=0,"",GDP!H15/('Capital Est'!H15^(1/3)*Pop!H15^(2/3)))</f>
        <v/>
      </c>
      <c r="I15" t="str">
        <f>IF(GDP!I15=0,"",GDP!I15/('Capital Est'!I15^(1/3)*Pop!I15^(2/3)))</f>
        <v/>
      </c>
      <c r="J15" t="str">
        <f>IF(GDP!J15=0,"",GDP!J15/('Capital Est'!J15^(1/3)*Pop!J15^(2/3)))</f>
        <v/>
      </c>
      <c r="K15" t="str">
        <f>IF(GDP!K15=0,"",GDP!K15/('Capital Est'!K15^(1/3)*Pop!K15^(2/3)))</f>
        <v/>
      </c>
    </row>
    <row r="16" spans="1:12" x14ac:dyDescent="0.25">
      <c r="A16" s="2">
        <v>23377</v>
      </c>
      <c r="B16">
        <f>IF(GDP!B16=0,"",GDP!B16/('Capital Est'!B16^(1/3)*Pop!B16^(2/3)))</f>
        <v>7.3221554846952863E-2</v>
      </c>
      <c r="C16">
        <f>IF(GDP!C16=0,"",GDP!C16/('Capital Est'!C16^(1/3)*Pop!C16^(2/3)))</f>
        <v>5.8771060374411925E-2</v>
      </c>
      <c r="D16" t="str">
        <f>IF(GDP!D16=0,"",GDP!D16/('Capital Est'!D16^(1/3)*Pop!D16^(2/3)))</f>
        <v/>
      </c>
      <c r="E16" t="str">
        <f>IF(GDP!E16=0,"",GDP!E16/('Capital Est'!E16^(1/3)*Pop!E16^(2/3)))</f>
        <v/>
      </c>
      <c r="F16">
        <f>IF(GDP!F16=0,"",GDP!F16/('Capital Est'!F16^(1/3)*Pop!F16^(2/3)))</f>
        <v>3.6072280392349262E-2</v>
      </c>
      <c r="G16" t="str">
        <f>IF(GDP!G16=0,"",GDP!G16/('Capital Est'!G16^(1/3)*Pop!G16^(2/3)))</f>
        <v/>
      </c>
      <c r="H16" t="str">
        <f>IF(GDP!H16=0,"",GDP!H16/('Capital Est'!H16^(1/3)*Pop!H16^(2/3)))</f>
        <v/>
      </c>
      <c r="I16" t="str">
        <f>IF(GDP!I16=0,"",GDP!I16/('Capital Est'!I16^(1/3)*Pop!I16^(2/3)))</f>
        <v/>
      </c>
      <c r="J16" t="str">
        <f>IF(GDP!J16=0,"",GDP!J16/('Capital Est'!J16^(1/3)*Pop!J16^(2/3)))</f>
        <v/>
      </c>
      <c r="K16" t="str">
        <f>IF(GDP!K16=0,"",GDP!K16/('Capital Est'!K16^(1/3)*Pop!K16^(2/3)))</f>
        <v/>
      </c>
    </row>
    <row r="17" spans="1:12" x14ac:dyDescent="0.25">
      <c r="A17" s="2">
        <v>23743</v>
      </c>
      <c r="B17">
        <f>IF(GDP!B17=0,"",GDP!B17/('Capital Est'!B17^(1/3)*Pop!B17^(2/3)))</f>
        <v>7.5266962032743912E-2</v>
      </c>
      <c r="C17">
        <f>IF(GDP!C17=0,"",GDP!C17/('Capital Est'!C17^(1/3)*Pop!C17^(2/3)))</f>
        <v>6.1044016717674211E-2</v>
      </c>
      <c r="D17" t="str">
        <f>IF(GDP!D17=0,"",GDP!D17/('Capital Est'!D17^(1/3)*Pop!D17^(2/3)))</f>
        <v/>
      </c>
      <c r="E17" t="str">
        <f>IF(GDP!E17=0,"",GDP!E17/('Capital Est'!E17^(1/3)*Pop!E17^(2/3)))</f>
        <v/>
      </c>
      <c r="F17">
        <f>IF(GDP!F17=0,"",GDP!F17/('Capital Est'!F17^(1/3)*Pop!F17^(2/3)))</f>
        <v>3.6910019371803257E-2</v>
      </c>
      <c r="G17" t="str">
        <f>IF(GDP!G17=0,"",GDP!G17/('Capital Est'!G17^(1/3)*Pop!G17^(2/3)))</f>
        <v/>
      </c>
      <c r="H17" t="str">
        <f>IF(GDP!H17=0,"",GDP!H17/('Capital Est'!H17^(1/3)*Pop!H17^(2/3)))</f>
        <v/>
      </c>
      <c r="I17" t="str">
        <f>IF(GDP!I17=0,"",GDP!I17/('Capital Est'!I17^(1/3)*Pop!I17^(2/3)))</f>
        <v/>
      </c>
      <c r="J17" t="str">
        <f>IF(GDP!J17=0,"",GDP!J17/('Capital Est'!J17^(1/3)*Pop!J17^(2/3)))</f>
        <v/>
      </c>
      <c r="K17" t="str">
        <f>IF(GDP!K17=0,"",GDP!K17/('Capital Est'!K17^(1/3)*Pop!K17^(2/3)))</f>
        <v/>
      </c>
    </row>
    <row r="18" spans="1:12" x14ac:dyDescent="0.25">
      <c r="A18" s="2">
        <v>24108</v>
      </c>
      <c r="B18">
        <f>IF(GDP!B18=0,"",GDP!B18/('Capital Est'!B18^(1/3)*Pop!B18^(2/3)))</f>
        <v>7.5621524739248505E-2</v>
      </c>
      <c r="C18">
        <f>IF(GDP!C18=0,"",GDP!C18/('Capital Est'!C18^(1/3)*Pop!C18^(2/3)))</f>
        <v>6.3534722313275407E-2</v>
      </c>
      <c r="D18" t="str">
        <f>IF(GDP!D18=0,"",GDP!D18/('Capital Est'!D18^(1/3)*Pop!D18^(2/3)))</f>
        <v/>
      </c>
      <c r="E18" t="str">
        <f>IF(GDP!E18=0,"",GDP!E18/('Capital Est'!E18^(1/3)*Pop!E18^(2/3)))</f>
        <v/>
      </c>
      <c r="F18">
        <f>IF(GDP!F18=0,"",GDP!F18/('Capital Est'!F18^(1/3)*Pop!F18^(2/3)))</f>
        <v>3.7870191303315481E-2</v>
      </c>
      <c r="G18" t="str">
        <f>IF(GDP!G18=0,"",GDP!G18/('Capital Est'!G18^(1/3)*Pop!G18^(2/3)))</f>
        <v/>
      </c>
      <c r="H18" t="str">
        <f>IF(GDP!H18=0,"",GDP!H18/('Capital Est'!H18^(1/3)*Pop!H18^(2/3)))</f>
        <v/>
      </c>
      <c r="I18" t="str">
        <f>IF(GDP!I18=0,"",GDP!I18/('Capital Est'!I18^(1/3)*Pop!I18^(2/3)))</f>
        <v/>
      </c>
      <c r="J18" t="str">
        <f>IF(GDP!J18=0,"",GDP!J18/('Capital Est'!J18^(1/3)*Pop!J18^(2/3)))</f>
        <v/>
      </c>
      <c r="K18" t="str">
        <f>IF(GDP!K18=0,"",GDP!K18/('Capital Est'!K18^(1/3)*Pop!K18^(2/3)))</f>
        <v/>
      </c>
    </row>
    <row r="19" spans="1:12" x14ac:dyDescent="0.25">
      <c r="A19" s="2">
        <v>24473</v>
      </c>
      <c r="B19">
        <f>IF(GDP!B19=0,"",GDP!B19/('Capital Est'!B19^(1/3)*Pop!B19^(2/3)))</f>
        <v>7.9607291242240696E-2</v>
      </c>
      <c r="C19">
        <f>IF(GDP!C19=0,"",GDP!C19/('Capital Est'!C19^(1/3)*Pop!C19^(2/3)))</f>
        <v>6.3926919656716125E-2</v>
      </c>
      <c r="D19" t="str">
        <f>IF(GDP!D19=0,"",GDP!D19/('Capital Est'!D19^(1/3)*Pop!D19^(2/3)))</f>
        <v/>
      </c>
      <c r="E19" t="str">
        <f>IF(GDP!E19=0,"",GDP!E19/('Capital Est'!E19^(1/3)*Pop!E19^(2/3)))</f>
        <v/>
      </c>
      <c r="F19">
        <f>IF(GDP!F19=0,"",GDP!F19/('Capital Est'!F19^(1/3)*Pop!F19^(2/3)))</f>
        <v>3.871195255883346E-2</v>
      </c>
      <c r="G19" t="str">
        <f>IF(GDP!G19=0,"",GDP!G19/('Capital Est'!G19^(1/3)*Pop!G19^(2/3)))</f>
        <v/>
      </c>
      <c r="H19" t="str">
        <f>IF(GDP!H19=0,"",GDP!H19/('Capital Est'!H19^(1/3)*Pop!H19^(2/3)))</f>
        <v/>
      </c>
      <c r="I19" t="str">
        <f>IF(GDP!I19=0,"",GDP!I19/('Capital Est'!I19^(1/3)*Pop!I19^(2/3)))</f>
        <v/>
      </c>
      <c r="J19" t="str">
        <f>IF(GDP!J19=0,"",GDP!J19/('Capital Est'!J19^(1/3)*Pop!J19^(2/3)))</f>
        <v/>
      </c>
      <c r="K19" t="str">
        <f>IF(GDP!K19=0,"",GDP!K19/('Capital Est'!K19^(1/3)*Pop!K19^(2/3)))</f>
        <v/>
      </c>
    </row>
    <row r="20" spans="1:12" x14ac:dyDescent="0.25">
      <c r="A20" s="2">
        <v>24838</v>
      </c>
      <c r="B20">
        <f>IF(GDP!B20=0,"",GDP!B20/('Capital Est'!B20^(1/3)*Pop!B20^(2/3)))</f>
        <v>8.1988342093533242E-2</v>
      </c>
      <c r="C20">
        <f>IF(GDP!C20=0,"",GDP!C20/('Capital Est'!C20^(1/3)*Pop!C20^(2/3)))</f>
        <v>6.5659504263534951E-2</v>
      </c>
      <c r="D20" t="str">
        <f>IF(GDP!D20=0,"",GDP!D20/('Capital Est'!D20^(1/3)*Pop!D20^(2/3)))</f>
        <v/>
      </c>
      <c r="E20" t="str">
        <f>IF(GDP!E20=0,"",GDP!E20/('Capital Est'!E20^(1/3)*Pop!E20^(2/3)))</f>
        <v/>
      </c>
      <c r="F20">
        <f>IF(GDP!F20=0,"",GDP!F20/('Capital Est'!F20^(1/3)*Pop!F20^(2/3)))</f>
        <v>3.9495717800823456E-2</v>
      </c>
      <c r="G20" t="str">
        <f>IF(GDP!G20=0,"",GDP!G20/('Capital Est'!G20^(1/3)*Pop!G20^(2/3)))</f>
        <v/>
      </c>
      <c r="H20" t="str">
        <f>IF(GDP!H20=0,"",GDP!H20/('Capital Est'!H20^(1/3)*Pop!H20^(2/3)))</f>
        <v/>
      </c>
      <c r="I20" t="str">
        <f>IF(GDP!I20=0,"",GDP!I20/('Capital Est'!I20^(1/3)*Pop!I20^(2/3)))</f>
        <v/>
      </c>
      <c r="J20" t="str">
        <f>IF(GDP!J20=0,"",GDP!J20/('Capital Est'!J20^(1/3)*Pop!J20^(2/3)))</f>
        <v/>
      </c>
      <c r="K20" t="str">
        <f>IF(GDP!K20=0,"",GDP!K20/('Capital Est'!K20^(1/3)*Pop!K20^(2/3)))</f>
        <v/>
      </c>
    </row>
    <row r="21" spans="1:12" x14ac:dyDescent="0.25">
      <c r="A21" s="2">
        <v>25204</v>
      </c>
      <c r="B21">
        <f>IF(GDP!B21=0,"",GDP!B21/('Capital Est'!B21^(1/3)*Pop!B21^(2/3)))</f>
        <v>8.4934392309800419E-2</v>
      </c>
      <c r="C21">
        <f>IF(GDP!C21=0,"",GDP!C21/('Capital Est'!C21^(1/3)*Pop!C21^(2/3)))</f>
        <v>6.7570089154452173E-2</v>
      </c>
      <c r="D21" t="str">
        <f>IF(GDP!D21=0,"",GDP!D21/('Capital Est'!D21^(1/3)*Pop!D21^(2/3)))</f>
        <v/>
      </c>
      <c r="E21" t="str">
        <f>IF(GDP!E21=0,"",GDP!E21/('Capital Est'!E21^(1/3)*Pop!E21^(2/3)))</f>
        <v/>
      </c>
      <c r="F21">
        <f>IF(GDP!F21=0,"",GDP!F21/('Capital Est'!F21^(1/3)*Pop!F21^(2/3)))</f>
        <v>4.1270987097270409E-2</v>
      </c>
      <c r="G21" t="str">
        <f>IF(GDP!G21=0,"",GDP!G21/('Capital Est'!G21^(1/3)*Pop!G21^(2/3)))</f>
        <v/>
      </c>
      <c r="H21" t="str">
        <f>IF(GDP!H21=0,"",GDP!H21/('Capital Est'!H21^(1/3)*Pop!H21^(2/3)))</f>
        <v/>
      </c>
      <c r="I21" t="str">
        <f>IF(GDP!I21=0,"",GDP!I21/('Capital Est'!I21^(1/3)*Pop!I21^(2/3)))</f>
        <v/>
      </c>
      <c r="J21" t="str">
        <f>IF(GDP!J21=0,"",GDP!J21/('Capital Est'!J21^(1/3)*Pop!J21^(2/3)))</f>
        <v/>
      </c>
      <c r="K21" t="str">
        <f>IF(GDP!K21=0,"",GDP!K21/('Capital Est'!K21^(1/3)*Pop!K21^(2/3)))</f>
        <v/>
      </c>
    </row>
    <row r="22" spans="1:12" x14ac:dyDescent="0.25">
      <c r="A22" s="2">
        <v>25569</v>
      </c>
      <c r="B22">
        <f>IF(GDP!B22=0,"",GDP!B22/('Capital Est'!B22^(1/3)*Pop!B22^(2/3)))</f>
        <v>8.8690071186770636E-2</v>
      </c>
      <c r="C22">
        <f>IF(GDP!C22=0,"",GDP!C22/('Capital Est'!C22^(1/3)*Pop!C22^(2/3)))</f>
        <v>6.8145270363501681E-2</v>
      </c>
      <c r="D22" t="str">
        <f>IF(GDP!D22=0,"",GDP!D22/('Capital Est'!D22^(1/3)*Pop!D22^(2/3)))</f>
        <v/>
      </c>
      <c r="E22" t="str">
        <f>IF(GDP!E22=0,"",GDP!E22/('Capital Est'!E22^(1/3)*Pop!E22^(2/3)))</f>
        <v/>
      </c>
      <c r="F22">
        <f>IF(GDP!F22=0,"",GDP!F22/('Capital Est'!F22^(1/3)*Pop!F22^(2/3)))</f>
        <v>4.2774710518443067E-2</v>
      </c>
      <c r="G22" t="str">
        <f>IF(GDP!G22=0,"",GDP!G22/('Capital Est'!G22^(1/3)*Pop!G22^(2/3)))</f>
        <v/>
      </c>
      <c r="H22" t="str">
        <f>IF(GDP!H22=0,"",GDP!H22/('Capital Est'!H22^(1/3)*Pop!H22^(2/3)))</f>
        <v/>
      </c>
      <c r="I22" t="str">
        <f>IF(GDP!I22=0,"",GDP!I22/('Capital Est'!I22^(1/3)*Pop!I22^(2/3)))</f>
        <v/>
      </c>
      <c r="J22" t="str">
        <f>IF(GDP!J22=0,"",GDP!J22/('Capital Est'!J22^(1/3)*Pop!J22^(2/3)))</f>
        <v/>
      </c>
      <c r="K22" t="str">
        <f>IF(GDP!K22=0,"",GDP!K22/('Capital Est'!K22^(1/3)*Pop!K22^(2/3)))</f>
        <v/>
      </c>
    </row>
    <row r="23" spans="1:12" x14ac:dyDescent="0.25">
      <c r="A23" s="2">
        <v>25934</v>
      </c>
      <c r="B23">
        <f>IF(GDP!B23=0,"",GDP!B23/('Capital Est'!B23^(1/3)*Pop!B23^(2/3)))</f>
        <v>8.9078177451458795E-2</v>
      </c>
      <c r="C23">
        <f>IF(GDP!C23=0,"",GDP!C23/('Capital Est'!C23^(1/3)*Pop!C23^(2/3)))</f>
        <v>6.8684203716488923E-2</v>
      </c>
      <c r="D23" t="str">
        <f>IF(GDP!D23=0,"",GDP!D23/('Capital Est'!D23^(1/3)*Pop!D23^(2/3)))</f>
        <v/>
      </c>
      <c r="E23" t="str">
        <f>IF(GDP!E23=0,"",GDP!E23/('Capital Est'!E23^(1/3)*Pop!E23^(2/3)))</f>
        <v/>
      </c>
      <c r="F23">
        <f>IF(GDP!F23=0,"",GDP!F23/('Capital Est'!F23^(1/3)*Pop!F23^(2/3)))</f>
        <v>4.3938809677350879E-2</v>
      </c>
      <c r="G23" t="str">
        <f>IF(GDP!G23=0,"",GDP!G23/('Capital Est'!G23^(1/3)*Pop!G23^(2/3)))</f>
        <v/>
      </c>
      <c r="H23" t="str">
        <f>IF(GDP!H23=0,"",GDP!H23/('Capital Est'!H23^(1/3)*Pop!H23^(2/3)))</f>
        <v/>
      </c>
      <c r="I23" t="str">
        <f>IF(GDP!I23=0,"",GDP!I23/('Capital Est'!I23^(1/3)*Pop!I23^(2/3)))</f>
        <v/>
      </c>
      <c r="J23" t="str">
        <f>IF(GDP!J23=0,"",GDP!J23/('Capital Est'!J23^(1/3)*Pop!J23^(2/3)))</f>
        <v/>
      </c>
      <c r="K23" t="str">
        <f>IF(GDP!K23=0,"",GDP!K23/('Capital Est'!K23^(1/3)*Pop!K23^(2/3)))</f>
        <v/>
      </c>
      <c r="L23">
        <f>IF(GDP!L23=0,"",GDP!L23/('Capital Est'!L23^(1/3)*Pop!L23^(2/3)))</f>
        <v>6.1543294309562235E-2</v>
      </c>
    </row>
    <row r="24" spans="1:12" x14ac:dyDescent="0.25">
      <c r="A24" s="2">
        <v>26299</v>
      </c>
      <c r="B24">
        <f>IF(GDP!B24=0,"",GDP!B24/('Capital Est'!B24^(1/3)*Pop!B24^(2/3)))</f>
        <v>8.905954598745297E-2</v>
      </c>
      <c r="C24">
        <f>IF(GDP!C24=0,"",GDP!C24/('Capital Est'!C24^(1/3)*Pop!C24^(2/3)))</f>
        <v>7.1059545036745567E-2</v>
      </c>
      <c r="D24" t="str">
        <f>IF(GDP!D24=0,"",GDP!D24/('Capital Est'!D24^(1/3)*Pop!D24^(2/3)))</f>
        <v/>
      </c>
      <c r="E24" t="str">
        <f>IF(GDP!E24=0,"",GDP!E24/('Capital Est'!E24^(1/3)*Pop!E24^(2/3)))</f>
        <v/>
      </c>
      <c r="F24">
        <f>IF(GDP!F24=0,"",GDP!F24/('Capital Est'!F24^(1/3)*Pop!F24^(2/3)))</f>
        <v>4.4808099187734401E-2</v>
      </c>
      <c r="G24" t="str">
        <f>IF(GDP!G24=0,"",GDP!G24/('Capital Est'!G24^(1/3)*Pop!G24^(2/3)))</f>
        <v/>
      </c>
      <c r="H24" t="str">
        <f>IF(GDP!H24=0,"",GDP!H24/('Capital Est'!H24^(1/3)*Pop!H24^(2/3)))</f>
        <v/>
      </c>
      <c r="I24" t="str">
        <f>IF(GDP!I24=0,"",GDP!I24/('Capital Est'!I24^(1/3)*Pop!I24^(2/3)))</f>
        <v/>
      </c>
      <c r="J24" t="str">
        <f>IF(GDP!J24=0,"",GDP!J24/('Capital Est'!J24^(1/3)*Pop!J24^(2/3)))</f>
        <v/>
      </c>
      <c r="K24" t="str">
        <f>IF(GDP!K24=0,"",GDP!K24/('Capital Est'!K24^(1/3)*Pop!K24^(2/3)))</f>
        <v/>
      </c>
      <c r="L24">
        <f>IF(GDP!L24=0,"",GDP!L24/('Capital Est'!L24^(1/3)*Pop!L24^(2/3)))</f>
        <v>6.3914832529313403E-2</v>
      </c>
    </row>
    <row r="25" spans="1:12" x14ac:dyDescent="0.25">
      <c r="A25" s="2">
        <v>26665</v>
      </c>
      <c r="B25">
        <f>IF(GDP!B25=0,"",GDP!B25/('Capital Est'!B25^(1/3)*Pop!B25^(2/3)))</f>
        <v>9.0981391197959796E-2</v>
      </c>
      <c r="C25">
        <f>IF(GDP!C25=0,"",GDP!C25/('Capital Est'!C25^(1/3)*Pop!C25^(2/3)))</f>
        <v>7.4248676290431845E-2</v>
      </c>
      <c r="D25" t="str">
        <f>IF(GDP!D25=0,"",GDP!D25/('Capital Est'!D25^(1/3)*Pop!D25^(2/3)))</f>
        <v/>
      </c>
      <c r="E25" t="str">
        <f>IF(GDP!E25=0,"",GDP!E25/('Capital Est'!E25^(1/3)*Pop!E25^(2/3)))</f>
        <v/>
      </c>
      <c r="F25">
        <f>IF(GDP!F25=0,"",GDP!F25/('Capital Est'!F25^(1/3)*Pop!F25^(2/3)))</f>
        <v>4.6439809667133722E-2</v>
      </c>
      <c r="G25" t="str">
        <f>IF(GDP!G25=0,"",GDP!G25/('Capital Est'!G25^(1/3)*Pop!G25^(2/3)))</f>
        <v/>
      </c>
      <c r="H25" t="str">
        <f>IF(GDP!H25=0,"",GDP!H25/('Capital Est'!H25^(1/3)*Pop!H25^(2/3)))</f>
        <v/>
      </c>
      <c r="I25" t="str">
        <f>IF(GDP!I25=0,"",GDP!I25/('Capital Est'!I25^(1/3)*Pop!I25^(2/3)))</f>
        <v/>
      </c>
      <c r="J25" t="str">
        <f>IF(GDP!J25=0,"",GDP!J25/('Capital Est'!J25^(1/3)*Pop!J25^(2/3)))</f>
        <v/>
      </c>
      <c r="K25" t="str">
        <f>IF(GDP!K25=0,"",GDP!K25/('Capital Est'!K25^(1/3)*Pop!K25^(2/3)))</f>
        <v/>
      </c>
      <c r="L25">
        <f>IF(GDP!L25=0,"",GDP!L25/('Capital Est'!L25^(1/3)*Pop!L25^(2/3)))</f>
        <v>6.6610123612054137E-2</v>
      </c>
    </row>
    <row r="26" spans="1:12" x14ac:dyDescent="0.25">
      <c r="A26" s="2">
        <v>27030</v>
      </c>
      <c r="B26">
        <f>IF(GDP!B26=0,"",GDP!B26/('Capital Est'!B26^(1/3)*Pop!B26^(2/3)))</f>
        <v>9.0026671956844925E-2</v>
      </c>
      <c r="C26">
        <f>IF(GDP!C26=0,"",GDP!C26/('Capital Est'!C26^(1/3)*Pop!C26^(2/3)))</f>
        <v>7.5018290523409664E-2</v>
      </c>
      <c r="D26" t="str">
        <f>IF(GDP!D26=0,"",GDP!D26/('Capital Est'!D26^(1/3)*Pop!D26^(2/3)))</f>
        <v/>
      </c>
      <c r="E26" t="str">
        <f>IF(GDP!E26=0,"",GDP!E26/('Capital Est'!E26^(1/3)*Pop!E26^(2/3)))</f>
        <v/>
      </c>
      <c r="F26">
        <f>IF(GDP!F26=0,"",GDP!F26/('Capital Est'!F26^(1/3)*Pop!F26^(2/3)))</f>
        <v>4.7408737542036561E-2</v>
      </c>
      <c r="G26" t="str">
        <f>IF(GDP!G26=0,"",GDP!G26/('Capital Est'!G26^(1/3)*Pop!G26^(2/3)))</f>
        <v/>
      </c>
      <c r="H26" t="str">
        <f>IF(GDP!H26=0,"",GDP!H26/('Capital Est'!H26^(1/3)*Pop!H26^(2/3)))</f>
        <v/>
      </c>
      <c r="I26" t="str">
        <f>IF(GDP!I26=0,"",GDP!I26/('Capital Est'!I26^(1/3)*Pop!I26^(2/3)))</f>
        <v/>
      </c>
      <c r="J26" t="str">
        <f>IF(GDP!J26=0,"",GDP!J26/('Capital Est'!J26^(1/3)*Pop!J26^(2/3)))</f>
        <v/>
      </c>
      <c r="K26" t="str">
        <f>IF(GDP!K26=0,"",GDP!K26/('Capital Est'!K26^(1/3)*Pop!K26^(2/3)))</f>
        <v/>
      </c>
      <c r="L26">
        <f>IF(GDP!L26=0,"",GDP!L26/('Capital Est'!L26^(1/3)*Pop!L26^(2/3)))</f>
        <v>6.5451065463556779E-2</v>
      </c>
    </row>
    <row r="27" spans="1:12" x14ac:dyDescent="0.25">
      <c r="A27" s="2">
        <v>27395</v>
      </c>
      <c r="B27">
        <f>IF(GDP!B27=0,"",GDP!B27/('Capital Est'!B27^(1/3)*Pop!B27^(2/3)))</f>
        <v>9.0712056004737168E-2</v>
      </c>
      <c r="C27">
        <f>IF(GDP!C27=0,"",GDP!C27/('Capital Est'!C27^(1/3)*Pop!C27^(2/3)))</f>
        <v>7.4432687398802433E-2</v>
      </c>
      <c r="D27" t="str">
        <f>IF(GDP!D27=0,"",GDP!D27/('Capital Est'!D27^(1/3)*Pop!D27^(2/3)))</f>
        <v/>
      </c>
      <c r="E27" t="str">
        <f>IF(GDP!E27=0,"",GDP!E27/('Capital Est'!E27^(1/3)*Pop!E27^(2/3)))</f>
        <v/>
      </c>
      <c r="F27">
        <f>IF(GDP!F27=0,"",GDP!F27/('Capital Est'!F27^(1/3)*Pop!F27^(2/3)))</f>
        <v>4.6090301402043031E-2</v>
      </c>
      <c r="G27" t="str">
        <f>IF(GDP!G27=0,"",GDP!G27/('Capital Est'!G27^(1/3)*Pop!G27^(2/3)))</f>
        <v/>
      </c>
      <c r="H27" t="str">
        <f>IF(GDP!H27=0,"",GDP!H27/('Capital Est'!H27^(1/3)*Pop!H27^(2/3)))</f>
        <v/>
      </c>
      <c r="I27" t="str">
        <f>IF(GDP!I27=0,"",GDP!I27/('Capital Est'!I27^(1/3)*Pop!I27^(2/3)))</f>
        <v/>
      </c>
      <c r="J27" t="str">
        <f>IF(GDP!J27=0,"",GDP!J27/('Capital Est'!J27^(1/3)*Pop!J27^(2/3)))</f>
        <v/>
      </c>
      <c r="K27" t="str">
        <f>IF(GDP!K27=0,"",GDP!K27/('Capital Est'!K27^(1/3)*Pop!K27^(2/3)))</f>
        <v/>
      </c>
      <c r="L27">
        <f>IF(GDP!L27=0,"",GDP!L27/('Capital Est'!L27^(1/3)*Pop!L27^(2/3)))</f>
        <v>6.460836330227078E-2</v>
      </c>
    </row>
    <row r="28" spans="1:12" x14ac:dyDescent="0.25">
      <c r="A28" s="2">
        <v>27760</v>
      </c>
      <c r="B28">
        <f>IF(GDP!B28=0,"",GDP!B28/('Capital Est'!B28^(1/3)*Pop!B28^(2/3)))</f>
        <v>9.2721800328212797E-2</v>
      </c>
      <c r="C28">
        <f>IF(GDP!C28=0,"",GDP!C28/('Capital Est'!C28^(1/3)*Pop!C28^(2/3)))</f>
        <v>7.7040600968950712E-2</v>
      </c>
      <c r="D28" t="str">
        <f>IF(GDP!D28=0,"",GDP!D28/('Capital Est'!D28^(1/3)*Pop!D28^(2/3)))</f>
        <v/>
      </c>
      <c r="E28" t="str">
        <f>IF(GDP!E28=0,"",GDP!E28/('Capital Est'!E28^(1/3)*Pop!E28^(2/3)))</f>
        <v/>
      </c>
      <c r="F28">
        <f>IF(GDP!F28=0,"",GDP!F28/('Capital Est'!F28^(1/3)*Pop!F28^(2/3)))</f>
        <v>4.72569696467375E-2</v>
      </c>
      <c r="G28" t="str">
        <f>IF(GDP!G28=0,"",GDP!G28/('Capital Est'!G28^(1/3)*Pop!G28^(2/3)))</f>
        <v/>
      </c>
      <c r="H28" t="str">
        <f>IF(GDP!H28=0,"",GDP!H28/('Capital Est'!H28^(1/3)*Pop!H28^(2/3)))</f>
        <v/>
      </c>
      <c r="I28" t="str">
        <f>IF(GDP!I28=0,"",GDP!I28/('Capital Est'!I28^(1/3)*Pop!I28^(2/3)))</f>
        <v/>
      </c>
      <c r="J28" t="str">
        <f>IF(GDP!J28=0,"",GDP!J28/('Capital Est'!J28^(1/3)*Pop!J28^(2/3)))</f>
        <v/>
      </c>
      <c r="K28" t="str">
        <f>IF(GDP!K28=0,"",GDP!K28/('Capital Est'!K28^(1/3)*Pop!K28^(2/3)))</f>
        <v/>
      </c>
      <c r="L28">
        <f>IF(GDP!L28=0,"",GDP!L28/('Capital Est'!L28^(1/3)*Pop!L28^(2/3)))</f>
        <v>6.7289435892452079E-2</v>
      </c>
    </row>
    <row r="29" spans="1:12" x14ac:dyDescent="0.25">
      <c r="A29" s="2">
        <v>28126</v>
      </c>
      <c r="B29">
        <f>IF(GDP!B29=0,"",GDP!B29/('Capital Est'!B29^(1/3)*Pop!B29^(2/3)))</f>
        <v>9.2549284809953766E-2</v>
      </c>
      <c r="C29">
        <f>IF(GDP!C29=0,"",GDP!C29/('Capital Est'!C29^(1/3)*Pop!C29^(2/3)))</f>
        <v>7.8079478321338394E-2</v>
      </c>
      <c r="D29" t="str">
        <f>IF(GDP!D29=0,"",GDP!D29/('Capital Est'!D29^(1/3)*Pop!D29^(2/3)))</f>
        <v/>
      </c>
      <c r="E29" t="str">
        <f>IF(GDP!E29=0,"",GDP!E29/('Capital Est'!E29^(1/3)*Pop!E29^(2/3)))</f>
        <v/>
      </c>
      <c r="F29">
        <f>IF(GDP!F29=0,"",GDP!F29/('Capital Est'!F29^(1/3)*Pop!F29^(2/3)))</f>
        <v>4.8150472569685646E-2</v>
      </c>
      <c r="G29" t="str">
        <f>IF(GDP!G29=0,"",GDP!G29/('Capital Est'!G29^(1/3)*Pop!G29^(2/3)))</f>
        <v/>
      </c>
      <c r="H29" t="str">
        <f>IF(GDP!H29=0,"",GDP!H29/('Capital Est'!H29^(1/3)*Pop!H29^(2/3)))</f>
        <v/>
      </c>
      <c r="I29" t="str">
        <f>IF(GDP!I29=0,"",GDP!I29/('Capital Est'!I29^(1/3)*Pop!I29^(2/3)))</f>
        <v/>
      </c>
      <c r="J29" t="str">
        <f>IF(GDP!J29=0,"",GDP!J29/('Capital Est'!J29^(1/3)*Pop!J29^(2/3)))</f>
        <v/>
      </c>
      <c r="K29" t="str">
        <f>IF(GDP!K29=0,"",GDP!K29/('Capital Est'!K29^(1/3)*Pop!K29^(2/3)))</f>
        <v/>
      </c>
      <c r="L29">
        <f>IF(GDP!L29=0,"",GDP!L29/('Capital Est'!L29^(1/3)*Pop!L29^(2/3)))</f>
        <v>6.9438362087785505E-2</v>
      </c>
    </row>
    <row r="30" spans="1:12" x14ac:dyDescent="0.25">
      <c r="A30" s="2">
        <v>28491</v>
      </c>
      <c r="B30">
        <f>IF(GDP!B30=0,"",GDP!B30/('Capital Est'!B30^(1/3)*Pop!B30^(2/3)))</f>
        <v>9.274209239062299E-2</v>
      </c>
      <c r="C30">
        <f>IF(GDP!C30=0,"",GDP!C30/('Capital Est'!C30^(1/3)*Pop!C30^(2/3)))</f>
        <v>7.9423756784726365E-2</v>
      </c>
      <c r="D30" t="str">
        <f>IF(GDP!D30=0,"",GDP!D30/('Capital Est'!D30^(1/3)*Pop!D30^(2/3)))</f>
        <v/>
      </c>
      <c r="E30" t="str">
        <f>IF(GDP!E30=0,"",GDP!E30/('Capital Est'!E30^(1/3)*Pop!E30^(2/3)))</f>
        <v/>
      </c>
      <c r="F30">
        <f>IF(GDP!F30=0,"",GDP!F30/('Capital Est'!F30^(1/3)*Pop!F30^(2/3)))</f>
        <v>4.9259275015106907E-2</v>
      </c>
      <c r="G30" t="str">
        <f>IF(GDP!G30=0,"",GDP!G30/('Capital Est'!G30^(1/3)*Pop!G30^(2/3)))</f>
        <v/>
      </c>
      <c r="H30" t="str">
        <f>IF(GDP!H30=0,"",GDP!H30/('Capital Est'!H30^(1/3)*Pop!H30^(2/3)))</f>
        <v/>
      </c>
      <c r="I30" t="str">
        <f>IF(GDP!I30=0,"",GDP!I30/('Capital Est'!I30^(1/3)*Pop!I30^(2/3)))</f>
        <v/>
      </c>
      <c r="J30" t="str">
        <f>IF(GDP!J30=0,"",GDP!J30/('Capital Est'!J30^(1/3)*Pop!J30^(2/3)))</f>
        <v/>
      </c>
      <c r="K30" t="str">
        <f>IF(GDP!K30=0,"",GDP!K30/('Capital Est'!K30^(1/3)*Pop!K30^(2/3)))</f>
        <v/>
      </c>
      <c r="L30">
        <f>IF(GDP!L30=0,"",GDP!L30/('Capital Est'!L30^(1/3)*Pop!L30^(2/3)))</f>
        <v>7.2133652692069547E-2</v>
      </c>
    </row>
    <row r="31" spans="1:12" x14ac:dyDescent="0.25">
      <c r="A31" s="2">
        <v>28856</v>
      </c>
      <c r="B31">
        <f>IF(GDP!B31=0,"",GDP!B31/('Capital Est'!B31^(1/3)*Pop!B31^(2/3)))</f>
        <v>9.5259332032803359E-2</v>
      </c>
      <c r="C31">
        <f>IF(GDP!C31=0,"",GDP!C31/('Capital Est'!C31^(1/3)*Pop!C31^(2/3)))</f>
        <v>8.0739696286324658E-2</v>
      </c>
      <c r="D31" t="str">
        <f>IF(GDP!D31=0,"",GDP!D31/('Capital Est'!D31^(1/3)*Pop!D31^(2/3)))</f>
        <v/>
      </c>
      <c r="E31" t="str">
        <f>IF(GDP!E31=0,"",GDP!E31/('Capital Est'!E31^(1/3)*Pop!E31^(2/3)))</f>
        <v/>
      </c>
      <c r="F31">
        <f>IF(GDP!F31=0,"",GDP!F31/('Capital Est'!F31^(1/3)*Pop!F31^(2/3)))</f>
        <v>5.0282149519236014E-2</v>
      </c>
      <c r="G31" t="str">
        <f>IF(GDP!G31=0,"",GDP!G31/('Capital Est'!G31^(1/3)*Pop!G31^(2/3)))</f>
        <v/>
      </c>
      <c r="H31" t="str">
        <f>IF(GDP!H31=0,"",GDP!H31/('Capital Est'!H31^(1/3)*Pop!H31^(2/3)))</f>
        <v/>
      </c>
      <c r="I31" t="str">
        <f>IF(GDP!I31=0,"",GDP!I31/('Capital Est'!I31^(1/3)*Pop!I31^(2/3)))</f>
        <v/>
      </c>
      <c r="J31" t="str">
        <f>IF(GDP!J31=0,"",GDP!J31/('Capital Est'!J31^(1/3)*Pop!J31^(2/3)))</f>
        <v/>
      </c>
      <c r="K31" t="str">
        <f>IF(GDP!K31=0,"",GDP!K31/('Capital Est'!K31^(1/3)*Pop!K31^(2/3)))</f>
        <v/>
      </c>
      <c r="L31">
        <f>IF(GDP!L31=0,"",GDP!L31/('Capital Est'!L31^(1/3)*Pop!L31^(2/3)))</f>
        <v>7.318297689769436E-2</v>
      </c>
    </row>
    <row r="32" spans="1:12" x14ac:dyDescent="0.25">
      <c r="A32" s="2">
        <v>29221</v>
      </c>
      <c r="B32">
        <f>IF(GDP!B32=0,"",GDP!B32/('Capital Est'!B32^(1/3)*Pop!B32^(2/3)))</f>
        <v>9.5907491322924948E-2</v>
      </c>
      <c r="C32">
        <f>IF(GDP!C32=0,"",GDP!C32/('Capital Est'!C32^(1/3)*Pop!C32^(2/3)))</f>
        <v>8.0665423916293069E-2</v>
      </c>
      <c r="D32" t="str">
        <f>IF(GDP!D32=0,"",GDP!D32/('Capital Est'!D32^(1/3)*Pop!D32^(2/3)))</f>
        <v/>
      </c>
      <c r="E32" t="str">
        <f>IF(GDP!E32=0,"",GDP!E32/('Capital Est'!E32^(1/3)*Pop!E32^(2/3)))</f>
        <v/>
      </c>
      <c r="F32">
        <f>IF(GDP!F32=0,"",GDP!F32/('Capital Est'!F32^(1/3)*Pop!F32^(2/3)))</f>
        <v>5.0319654344726482E-2</v>
      </c>
      <c r="G32" t="str">
        <f>IF(GDP!G32=0,"",GDP!G32/('Capital Est'!G32^(1/3)*Pop!G32^(2/3)))</f>
        <v/>
      </c>
      <c r="H32" t="str">
        <f>IF(GDP!H32=0,"",GDP!H32/('Capital Est'!H32^(1/3)*Pop!H32^(2/3)))</f>
        <v/>
      </c>
      <c r="I32" t="str">
        <f>IF(GDP!I32=0,"",GDP!I32/('Capital Est'!I32^(1/3)*Pop!I32^(2/3)))</f>
        <v/>
      </c>
      <c r="J32" t="str">
        <f>IF(GDP!J32=0,"",GDP!J32/('Capital Est'!J32^(1/3)*Pop!J32^(2/3)))</f>
        <v/>
      </c>
      <c r="K32" t="str">
        <f>IF(GDP!K32=0,"",GDP!K32/('Capital Est'!K32^(1/3)*Pop!K32^(2/3)))</f>
        <v/>
      </c>
      <c r="L32">
        <f>IF(GDP!L32=0,"",GDP!L32/('Capital Est'!L32^(1/3)*Pop!L32^(2/3)))</f>
        <v>7.1964322600388556E-2</v>
      </c>
    </row>
    <row r="33" spans="1:12" x14ac:dyDescent="0.25">
      <c r="A33" s="2">
        <v>29587</v>
      </c>
      <c r="B33">
        <f>IF(GDP!B33=0,"",GDP!B33/('Capital Est'!B33^(1/3)*Pop!B33^(2/3)))</f>
        <v>9.7541152385595895E-2</v>
      </c>
      <c r="C33">
        <f>IF(GDP!C33=0,"",GDP!C33/('Capital Est'!C33^(1/3)*Pop!C33^(2/3)))</f>
        <v>8.1498578093786439E-2</v>
      </c>
      <c r="D33" t="str">
        <f>IF(GDP!D33=0,"",GDP!D33/('Capital Est'!D33^(1/3)*Pop!D33^(2/3)))</f>
        <v/>
      </c>
      <c r="E33" t="str">
        <f>IF(GDP!E33=0,"",GDP!E33/('Capital Est'!E33^(1/3)*Pop!E33^(2/3)))</f>
        <v/>
      </c>
      <c r="F33">
        <f>IF(GDP!F33=0,"",GDP!F33/('Capital Est'!F33^(1/3)*Pop!F33^(2/3)))</f>
        <v>5.0162992050292746E-2</v>
      </c>
      <c r="G33" t="str">
        <f>IF(GDP!G33=0,"",GDP!G33/('Capital Est'!G33^(1/3)*Pop!G33^(2/3)))</f>
        <v/>
      </c>
      <c r="H33" t="str">
        <f>IF(GDP!H33=0,"",GDP!H33/('Capital Est'!H33^(1/3)*Pop!H33^(2/3)))</f>
        <v/>
      </c>
      <c r="I33" t="str">
        <f>IF(GDP!I33=0,"",GDP!I33/('Capital Est'!I33^(1/3)*Pop!I33^(2/3)))</f>
        <v/>
      </c>
      <c r="J33" t="str">
        <f>IF(GDP!J33=0,"",GDP!J33/('Capital Est'!J33^(1/3)*Pop!J33^(2/3)))</f>
        <v/>
      </c>
      <c r="K33" t="str">
        <f>IF(GDP!K33=0,"",GDP!K33/('Capital Est'!K33^(1/3)*Pop!K33^(2/3)))</f>
        <v/>
      </c>
      <c r="L33">
        <f>IF(GDP!L33=0,"",GDP!L33/('Capital Est'!L33^(1/3)*Pop!L33^(2/3)))</f>
        <v>7.2744890003632268E-2</v>
      </c>
    </row>
    <row r="34" spans="1:12" x14ac:dyDescent="0.25">
      <c r="A34" s="2">
        <v>29952</v>
      </c>
      <c r="B34">
        <f>IF(GDP!B34=0,"",GDP!B34/('Capital Est'!B34^(1/3)*Pop!B34^(2/3)))</f>
        <v>9.4903596718963285E-2</v>
      </c>
      <c r="C34">
        <f>IF(GDP!C34=0,"",GDP!C34/('Capital Est'!C34^(1/3)*Pop!C34^(2/3)))</f>
        <v>7.7437488993321313E-2</v>
      </c>
      <c r="D34" t="str">
        <f>IF(GDP!D34=0,"",GDP!D34/('Capital Est'!D34^(1/3)*Pop!D34^(2/3)))</f>
        <v/>
      </c>
      <c r="E34" t="str">
        <f>IF(GDP!E34=0,"",GDP!E34/('Capital Est'!E34^(1/3)*Pop!E34^(2/3)))</f>
        <v/>
      </c>
      <c r="F34">
        <f>IF(GDP!F34=0,"",GDP!F34/('Capital Est'!F34^(1/3)*Pop!F34^(2/3)))</f>
        <v>5.0674375279263148E-2</v>
      </c>
      <c r="G34" t="str">
        <f>IF(GDP!G34=0,"",GDP!G34/('Capital Est'!G34^(1/3)*Pop!G34^(2/3)))</f>
        <v/>
      </c>
      <c r="H34" t="str">
        <f>IF(GDP!H34=0,"",GDP!H34/('Capital Est'!H34^(1/3)*Pop!H34^(2/3)))</f>
        <v/>
      </c>
      <c r="I34" t="str">
        <f>IF(GDP!I34=0,"",GDP!I34/('Capital Est'!I34^(1/3)*Pop!I34^(2/3)))</f>
        <v/>
      </c>
      <c r="J34" t="str">
        <f>IF(GDP!J34=0,"",GDP!J34/('Capital Est'!J34^(1/3)*Pop!J34^(2/3)))</f>
        <v/>
      </c>
      <c r="K34" t="str">
        <f>IF(GDP!K34=0,"",GDP!K34/('Capital Est'!K34^(1/3)*Pop!K34^(2/3)))</f>
        <v/>
      </c>
      <c r="L34">
        <f>IF(GDP!L34=0,"",GDP!L34/('Capital Est'!L34^(1/3)*Pop!L34^(2/3)))</f>
        <v>7.0538525637417734E-2</v>
      </c>
    </row>
    <row r="35" spans="1:12" x14ac:dyDescent="0.25">
      <c r="A35" s="2">
        <v>30317</v>
      </c>
      <c r="B35">
        <f>IF(GDP!B35=0,"",GDP!B35/('Capital Est'!B35^(1/3)*Pop!B35^(2/3)))</f>
        <v>9.2964750745431091E-2</v>
      </c>
      <c r="C35">
        <f>IF(GDP!C35=0,"",GDP!C35/('Capital Est'!C35^(1/3)*Pop!C35^(2/3)))</f>
        <v>7.8109082439447489E-2</v>
      </c>
      <c r="D35" t="str">
        <f>IF(GDP!D35=0,"",GDP!D35/('Capital Est'!D35^(1/3)*Pop!D35^(2/3)))</f>
        <v/>
      </c>
      <c r="E35" t="str">
        <f>IF(GDP!E35=0,"",GDP!E35/('Capital Est'!E35^(1/3)*Pop!E35^(2/3)))</f>
        <v/>
      </c>
      <c r="F35">
        <f>IF(GDP!F35=0,"",GDP!F35/('Capital Est'!F35^(1/3)*Pop!F35^(2/3)))</f>
        <v>5.0689781709953974E-2</v>
      </c>
      <c r="G35" t="str">
        <f>IF(GDP!G35=0,"",GDP!G35/('Capital Est'!G35^(1/3)*Pop!G35^(2/3)))</f>
        <v/>
      </c>
      <c r="H35" t="str">
        <f>IF(GDP!H35=0,"",GDP!H35/('Capital Est'!H35^(1/3)*Pop!H35^(2/3)))</f>
        <v/>
      </c>
      <c r="I35" t="str">
        <f>IF(GDP!I35=0,"",GDP!I35/('Capital Est'!I35^(1/3)*Pop!I35^(2/3)))</f>
        <v/>
      </c>
      <c r="J35" t="str">
        <f>IF(GDP!J35=0,"",GDP!J35/('Capital Est'!J35^(1/3)*Pop!J35^(2/3)))</f>
        <v/>
      </c>
      <c r="K35" t="str">
        <f>IF(GDP!K35=0,"",GDP!K35/('Capital Est'!K35^(1/3)*Pop!K35^(2/3)))</f>
        <v/>
      </c>
      <c r="L35">
        <f>IF(GDP!L35=0,"",GDP!L35/('Capital Est'!L35^(1/3)*Pop!L35^(2/3)))</f>
        <v>7.2792881370422849E-2</v>
      </c>
    </row>
    <row r="36" spans="1:12" x14ac:dyDescent="0.25">
      <c r="A36" s="2">
        <v>30682</v>
      </c>
      <c r="B36">
        <f>IF(GDP!B36=0,"",GDP!B36/('Capital Est'!B36^(1/3)*Pop!B36^(2/3)))</f>
        <v>9.7205837083639446E-2</v>
      </c>
      <c r="C36">
        <f>IF(GDP!C36=0,"",GDP!C36/('Capital Est'!C36^(1/3)*Pop!C36^(2/3)))</f>
        <v>8.1389764308544027E-2</v>
      </c>
      <c r="D36" t="str">
        <f>IF(GDP!D36=0,"",GDP!D36/('Capital Est'!D36^(1/3)*Pop!D36^(2/3)))</f>
        <v/>
      </c>
      <c r="E36" t="str">
        <f>IF(GDP!E36=0,"",GDP!E36/('Capital Est'!E36^(1/3)*Pop!E36^(2/3)))</f>
        <v/>
      </c>
      <c r="F36">
        <f>IF(GDP!F36=0,"",GDP!F36/('Capital Est'!F36^(1/3)*Pop!F36^(2/3)))</f>
        <v>5.0929960709565444E-2</v>
      </c>
      <c r="G36" t="str">
        <f>IF(GDP!G36=0,"",GDP!G36/('Capital Est'!G36^(1/3)*Pop!G36^(2/3)))</f>
        <v/>
      </c>
      <c r="H36" t="str">
        <f>IF(GDP!H36=0,"",GDP!H36/('Capital Est'!H36^(1/3)*Pop!H36^(2/3)))</f>
        <v/>
      </c>
      <c r="I36" t="str">
        <f>IF(GDP!I36=0,"",GDP!I36/('Capital Est'!I36^(1/3)*Pop!I36^(2/3)))</f>
        <v/>
      </c>
      <c r="J36" t="str">
        <f>IF(GDP!J36=0,"",GDP!J36/('Capital Est'!J36^(1/3)*Pop!J36^(2/3)))</f>
        <v/>
      </c>
      <c r="K36" t="str">
        <f>IF(GDP!K36=0,"",GDP!K36/('Capital Est'!K36^(1/3)*Pop!K36^(2/3)))</f>
        <v/>
      </c>
      <c r="L36">
        <f>IF(GDP!L36=0,"",GDP!L36/('Capital Est'!L36^(1/3)*Pop!L36^(2/3)))</f>
        <v>7.685522992547561E-2</v>
      </c>
    </row>
    <row r="37" spans="1:12" x14ac:dyDescent="0.25">
      <c r="A37" s="2">
        <v>31048</v>
      </c>
      <c r="B37">
        <f>IF(GDP!B37=0,"",GDP!B37/('Capital Est'!B37^(1/3)*Pop!B37^(2/3)))</f>
        <v>9.9873561270914374E-2</v>
      </c>
      <c r="C37">
        <f>IF(GDP!C37=0,"",GDP!C37/('Capital Est'!C37^(1/3)*Pop!C37^(2/3)))</f>
        <v>8.3794456122865096E-2</v>
      </c>
      <c r="D37" t="str">
        <f>IF(GDP!D37=0,"",GDP!D37/('Capital Est'!D37^(1/3)*Pop!D37^(2/3)))</f>
        <v/>
      </c>
      <c r="E37" t="str">
        <f>IF(GDP!E37=0,"",GDP!E37/('Capital Est'!E37^(1/3)*Pop!E37^(2/3)))</f>
        <v/>
      </c>
      <c r="F37">
        <f>IF(GDP!F37=0,"",GDP!F37/('Capital Est'!F37^(1/3)*Pop!F37^(2/3)))</f>
        <v>5.1150187634516044E-2</v>
      </c>
      <c r="G37" t="str">
        <f>IF(GDP!G37=0,"",GDP!G37/('Capital Est'!G37^(1/3)*Pop!G37^(2/3)))</f>
        <v/>
      </c>
      <c r="H37" t="str">
        <f>IF(GDP!H37=0,"",GDP!H37/('Capital Est'!H37^(1/3)*Pop!H37^(2/3)))</f>
        <v/>
      </c>
      <c r="I37" t="str">
        <f>IF(GDP!I37=0,"",GDP!I37/('Capital Est'!I37^(1/3)*Pop!I37^(2/3)))</f>
        <v/>
      </c>
      <c r="J37" t="str">
        <f>IF(GDP!J37=0,"",GDP!J37/('Capital Est'!J37^(1/3)*Pop!J37^(2/3)))</f>
        <v/>
      </c>
      <c r="K37" t="str">
        <f>IF(GDP!K37=0,"",GDP!K37/('Capital Est'!K37^(1/3)*Pop!K37^(2/3)))</f>
        <v/>
      </c>
      <c r="L37">
        <f>IF(GDP!L37=0,"",GDP!L37/('Capital Est'!L37^(1/3)*Pop!L37^(2/3)))</f>
        <v>7.8743471232454981E-2</v>
      </c>
    </row>
    <row r="38" spans="1:12" x14ac:dyDescent="0.25">
      <c r="A38" s="2">
        <v>31413</v>
      </c>
      <c r="B38">
        <f>IF(GDP!B38=0,"",GDP!B38/('Capital Est'!B38^(1/3)*Pop!B38^(2/3)))</f>
        <v>9.9464192300698487E-2</v>
      </c>
      <c r="C38">
        <f>IF(GDP!C38=0,"",GDP!C38/('Capital Est'!C38^(1/3)*Pop!C38^(2/3)))</f>
        <v>8.4059069865046812E-2</v>
      </c>
      <c r="D38" t="str">
        <f>IF(GDP!D38=0,"",GDP!D38/('Capital Est'!D38^(1/3)*Pop!D38^(2/3)))</f>
        <v/>
      </c>
      <c r="E38" t="str">
        <f>IF(GDP!E38=0,"",GDP!E38/('Capital Est'!E38^(1/3)*Pop!E38^(2/3)))</f>
        <v/>
      </c>
      <c r="F38">
        <f>IF(GDP!F38=0,"",GDP!F38/('Capital Est'!F38^(1/3)*Pop!F38^(2/3)))</f>
        <v>5.1767289670195081E-2</v>
      </c>
      <c r="G38" t="str">
        <f>IF(GDP!G38=0,"",GDP!G38/('Capital Est'!G38^(1/3)*Pop!G38^(2/3)))</f>
        <v/>
      </c>
      <c r="H38" t="str">
        <f>IF(GDP!H38=0,"",GDP!H38/('Capital Est'!H38^(1/3)*Pop!H38^(2/3)))</f>
        <v/>
      </c>
      <c r="I38" t="str">
        <f>IF(GDP!I38=0,"",GDP!I38/('Capital Est'!I38^(1/3)*Pop!I38^(2/3)))</f>
        <v/>
      </c>
      <c r="J38" t="str">
        <f>IF(GDP!J38=0,"",GDP!J38/('Capital Est'!J38^(1/3)*Pop!J38^(2/3)))</f>
        <v/>
      </c>
      <c r="K38" t="str">
        <f>IF(GDP!K38=0,"",GDP!K38/('Capital Est'!K38^(1/3)*Pop!K38^(2/3)))</f>
        <v/>
      </c>
      <c r="L38">
        <f>IF(GDP!L38=0,"",GDP!L38/('Capital Est'!L38^(1/3)*Pop!L38^(2/3)))</f>
        <v>8.0112241199947504E-2</v>
      </c>
    </row>
    <row r="39" spans="1:12" x14ac:dyDescent="0.25">
      <c r="A39" s="2">
        <v>31778</v>
      </c>
      <c r="B39">
        <f>IF(GDP!B39=0,"",GDP!B39/('Capital Est'!B39^(1/3)*Pop!B39^(2/3)))</f>
        <v>0.10246817955086837</v>
      </c>
      <c r="C39">
        <f>IF(GDP!C39=0,"",GDP!C39/('Capital Est'!C39^(1/3)*Pop!C39^(2/3)))</f>
        <v>8.563780153701854E-2</v>
      </c>
      <c r="D39" t="str">
        <f>IF(GDP!D39=0,"",GDP!D39/('Capital Est'!D39^(1/3)*Pop!D39^(2/3)))</f>
        <v/>
      </c>
      <c r="E39" t="str">
        <f>IF(GDP!E39=0,"",GDP!E39/('Capital Est'!E39^(1/3)*Pop!E39^(2/3)))</f>
        <v/>
      </c>
      <c r="F39">
        <f>IF(GDP!F39=0,"",GDP!F39/('Capital Est'!F39^(1/3)*Pop!F39^(2/3)))</f>
        <v>5.2443269750512014E-2</v>
      </c>
      <c r="G39" t="str">
        <f>IF(GDP!G39=0,"",GDP!G39/('Capital Est'!G39^(1/3)*Pop!G39^(2/3)))</f>
        <v/>
      </c>
      <c r="H39" t="str">
        <f>IF(GDP!H39=0,"",GDP!H39/('Capital Est'!H39^(1/3)*Pop!H39^(2/3)))</f>
        <v/>
      </c>
      <c r="I39" t="str">
        <f>IF(GDP!I39=0,"",GDP!I39/('Capital Est'!I39^(1/3)*Pop!I39^(2/3)))</f>
        <v/>
      </c>
      <c r="J39" t="str">
        <f>IF(GDP!J39=0,"",GDP!J39/('Capital Est'!J39^(1/3)*Pop!J39^(2/3)))</f>
        <v/>
      </c>
      <c r="K39" t="str">
        <f>IF(GDP!K39=0,"",GDP!K39/('Capital Est'!K39^(1/3)*Pop!K39^(2/3)))</f>
        <v/>
      </c>
      <c r="L39">
        <f>IF(GDP!L39=0,"",GDP!L39/('Capital Est'!L39^(1/3)*Pop!L39^(2/3)))</f>
        <v>8.1542258618344951E-2</v>
      </c>
    </row>
    <row r="40" spans="1:12" x14ac:dyDescent="0.25">
      <c r="A40" s="2">
        <v>32143</v>
      </c>
      <c r="B40">
        <f>IF(GDP!B40=0,"",GDP!B40/('Capital Est'!B40^(1/3)*Pop!B40^(2/3)))</f>
        <v>0.10444417038408008</v>
      </c>
      <c r="C40">
        <f>IF(GDP!C40=0,"",GDP!C40/('Capital Est'!C40^(1/3)*Pop!C40^(2/3)))</f>
        <v>8.7430810606580395E-2</v>
      </c>
      <c r="D40" t="str">
        <f>IF(GDP!D40=0,"",GDP!D40/('Capital Est'!D40^(1/3)*Pop!D40^(2/3)))</f>
        <v/>
      </c>
      <c r="E40" t="str">
        <f>IF(GDP!E40=0,"",GDP!E40/('Capital Est'!E40^(1/3)*Pop!E40^(2/3)))</f>
        <v/>
      </c>
      <c r="F40">
        <f>IF(GDP!F40=0,"",GDP!F40/('Capital Est'!F40^(1/3)*Pop!F40^(2/3)))</f>
        <v>5.4232539012318448E-2</v>
      </c>
      <c r="G40" t="str">
        <f>IF(GDP!G40=0,"",GDP!G40/('Capital Est'!G40^(1/3)*Pop!G40^(2/3)))</f>
        <v/>
      </c>
      <c r="H40" t="str">
        <f>IF(GDP!H40=0,"",GDP!H40/('Capital Est'!H40^(1/3)*Pop!H40^(2/3)))</f>
        <v/>
      </c>
      <c r="I40" t="str">
        <f>IF(GDP!I40=0,"",GDP!I40/('Capital Est'!I40^(1/3)*Pop!I40^(2/3)))</f>
        <v/>
      </c>
      <c r="J40" t="str">
        <f>IF(GDP!J40=0,"",GDP!J40/('Capital Est'!J40^(1/3)*Pop!J40^(2/3)))</f>
        <v/>
      </c>
      <c r="K40" t="str">
        <f>IF(GDP!K40=0,"",GDP!K40/('Capital Est'!K40^(1/3)*Pop!K40^(2/3)))</f>
        <v/>
      </c>
      <c r="L40">
        <f>IF(GDP!L40=0,"",GDP!L40/('Capital Est'!L40^(1/3)*Pop!L40^(2/3)))</f>
        <v>8.3584950357583176E-2</v>
      </c>
    </row>
    <row r="41" spans="1:12" x14ac:dyDescent="0.25">
      <c r="A41" s="2">
        <v>32509</v>
      </c>
      <c r="B41">
        <f>IF(GDP!B41=0,"",GDP!B41/('Capital Est'!B41^(1/3)*Pop!B41^(2/3)))</f>
        <v>0.10616440674430555</v>
      </c>
      <c r="C41">
        <f>IF(GDP!C41=0,"",GDP!C41/('Capital Est'!C41^(1/3)*Pop!C41^(2/3)))</f>
        <v>8.7178555129696647E-2</v>
      </c>
      <c r="D41" t="str">
        <f>IF(GDP!D41=0,"",GDP!D41/('Capital Est'!D41^(1/3)*Pop!D41^(2/3)))</f>
        <v/>
      </c>
      <c r="E41" t="str">
        <f>IF(GDP!E41=0,"",GDP!E41/('Capital Est'!E41^(1/3)*Pop!E41^(2/3)))</f>
        <v/>
      </c>
      <c r="F41">
        <f>IF(GDP!F41=0,"",GDP!F41/('Capital Est'!F41^(1/3)*Pop!F41^(2/3)))</f>
        <v>5.5820336373297565E-2</v>
      </c>
      <c r="G41" t="str">
        <f>IF(GDP!G41=0,"",GDP!G41/('Capital Est'!G41^(1/3)*Pop!G41^(2/3)))</f>
        <v/>
      </c>
      <c r="H41" t="str">
        <f>IF(GDP!H41=0,"",GDP!H41/('Capital Est'!H41^(1/3)*Pop!H41^(2/3)))</f>
        <v/>
      </c>
      <c r="I41" t="str">
        <f>IF(GDP!I41=0,"",GDP!I41/('Capital Est'!I41^(1/3)*Pop!I41^(2/3)))</f>
        <v/>
      </c>
      <c r="J41" t="str">
        <f>IF(GDP!J41=0,"",GDP!J41/('Capital Est'!J41^(1/3)*Pop!J41^(2/3)))</f>
        <v/>
      </c>
      <c r="K41" t="str">
        <f>IF(GDP!K41=0,"",GDP!K41/('Capital Est'!K41^(1/3)*Pop!K41^(2/3)))</f>
        <v/>
      </c>
      <c r="L41">
        <f>IF(GDP!L41=0,"",GDP!L41/('Capital Est'!L41^(1/3)*Pop!L41^(2/3)))</f>
        <v>8.5245918972574955E-2</v>
      </c>
    </row>
    <row r="42" spans="1:12" x14ac:dyDescent="0.25">
      <c r="A42" s="2">
        <v>32874</v>
      </c>
      <c r="B42">
        <f>IF(GDP!B42=0,"",GDP!B42/('Capital Est'!B42^(1/3)*Pop!B42^(2/3)))</f>
        <v>0.10535192737450375</v>
      </c>
      <c r="C42">
        <f>IF(GDP!C42=0,"",GDP!C42/('Capital Est'!C42^(1/3)*Pop!C42^(2/3)))</f>
        <v>8.5446130857300698E-2</v>
      </c>
      <c r="D42" t="str">
        <f>IF(GDP!D42=0,"",GDP!D42/('Capital Est'!D42^(1/3)*Pop!D42^(2/3)))</f>
        <v/>
      </c>
      <c r="E42" t="str">
        <f>IF(GDP!E42=0,"",GDP!E42/('Capital Est'!E42^(1/3)*Pop!E42^(2/3)))</f>
        <v/>
      </c>
      <c r="F42">
        <f>IF(GDP!F42=0,"",GDP!F42/('Capital Est'!F42^(1/3)*Pop!F42^(2/3)))</f>
        <v>5.658485906777639E-2</v>
      </c>
      <c r="G42" t="str">
        <f>IF(GDP!G42=0,"",GDP!G42/('Capital Est'!G42^(1/3)*Pop!G42^(2/3)))</f>
        <v/>
      </c>
      <c r="H42" t="str">
        <f>IF(GDP!H42=0,"",GDP!H42/('Capital Est'!H42^(1/3)*Pop!H42^(2/3)))</f>
        <v/>
      </c>
      <c r="I42" t="str">
        <f>IF(GDP!I42=0,"",GDP!I42/('Capital Est'!I42^(1/3)*Pop!I42^(2/3)))</f>
        <v/>
      </c>
      <c r="J42" t="str">
        <f>IF(GDP!J42=0,"",GDP!J42/('Capital Est'!J42^(1/3)*Pop!J42^(2/3)))</f>
        <v/>
      </c>
      <c r="K42" t="str">
        <f>IF(GDP!K42=0,"",GDP!K42/('Capital Est'!K42^(1/3)*Pop!K42^(2/3)))</f>
        <v/>
      </c>
      <c r="L42">
        <f>IF(GDP!L42=0,"",GDP!L42/('Capital Est'!L42^(1/3)*Pop!L42^(2/3)))</f>
        <v>8.5396742460925795E-2</v>
      </c>
    </row>
    <row r="43" spans="1:12" x14ac:dyDescent="0.25">
      <c r="A43" s="2">
        <v>33239</v>
      </c>
      <c r="B43">
        <f>IF(GDP!B43=0,"",GDP!B43/('Capital Est'!B43^(1/3)*Pop!B43^(2/3)))</f>
        <v>0.10217945271093845</v>
      </c>
      <c r="C43">
        <f>IF(GDP!C43=0,"",GDP!C43/('Capital Est'!C43^(1/3)*Pop!C43^(2/3)))</f>
        <v>8.213036526556737E-2</v>
      </c>
      <c r="D43">
        <f>IF(GDP!D43=0,"",GDP!D43/('Capital Est'!D43^(1/3)*Pop!D43^(2/3)))</f>
        <v>5.9861693962516199E-2</v>
      </c>
      <c r="E43" t="str">
        <f>IF(GDP!E43=0,"",GDP!E43/('Capital Est'!E43^(1/3)*Pop!E43^(2/3)))</f>
        <v/>
      </c>
      <c r="F43">
        <f>IF(GDP!F43=0,"",GDP!F43/('Capital Est'!F43^(1/3)*Pop!F43^(2/3)))</f>
        <v>5.6371941304847434E-2</v>
      </c>
      <c r="G43" t="str">
        <f>IF(GDP!G43=0,"",GDP!G43/('Capital Est'!G43^(1/3)*Pop!G43^(2/3)))</f>
        <v/>
      </c>
      <c r="H43" t="str">
        <f>IF(GDP!H43=0,"",GDP!H43/('Capital Est'!H43^(1/3)*Pop!H43^(2/3)))</f>
        <v/>
      </c>
      <c r="I43" t="str">
        <f>IF(GDP!I43=0,"",GDP!I43/('Capital Est'!I43^(1/3)*Pop!I43^(2/3)))</f>
        <v/>
      </c>
      <c r="J43" t="str">
        <f>IF(GDP!J43=0,"",GDP!J43/('Capital Est'!J43^(1/3)*Pop!J43^(2/3)))</f>
        <v/>
      </c>
      <c r="K43" t="str">
        <f>IF(GDP!K43=0,"",GDP!K43/('Capital Est'!K43^(1/3)*Pop!K43^(2/3)))</f>
        <v/>
      </c>
      <c r="L43">
        <f>IF(GDP!L43=0,"",GDP!L43/('Capital Est'!L43^(1/3)*Pop!L43^(2/3)))</f>
        <v>8.388425897088049E-2</v>
      </c>
    </row>
    <row r="44" spans="1:12" x14ac:dyDescent="0.25">
      <c r="A44" s="2">
        <v>33604</v>
      </c>
      <c r="B44">
        <f>IF(GDP!B44=0,"",GDP!B44/('Capital Est'!B44^(1/3)*Pop!B44^(2/3)))</f>
        <v>0.10355029433168322</v>
      </c>
      <c r="C44">
        <f>IF(GDP!C44=0,"",GDP!C44/('Capital Est'!C44^(1/3)*Pop!C44^(2/3)))</f>
        <v>8.1488891263689855E-2</v>
      </c>
      <c r="D44">
        <f>IF(GDP!D44=0,"",GDP!D44/('Capital Est'!D44^(1/3)*Pop!D44^(2/3)))</f>
        <v>6.0099279614945836E-2</v>
      </c>
      <c r="E44" t="str">
        <f>IF(GDP!E44=0,"",GDP!E44/('Capital Est'!E44^(1/3)*Pop!E44^(2/3)))</f>
        <v/>
      </c>
      <c r="F44">
        <f>IF(GDP!F44=0,"",GDP!F44/('Capital Est'!F44^(1/3)*Pop!F44^(2/3)))</f>
        <v>5.6523853469288496E-2</v>
      </c>
      <c r="G44" t="str">
        <f>IF(GDP!G44=0,"",GDP!G44/('Capital Est'!G44^(1/3)*Pop!G44^(2/3)))</f>
        <v/>
      </c>
      <c r="H44" t="str">
        <f>IF(GDP!H44=0,"",GDP!H44/('Capital Est'!H44^(1/3)*Pop!H44^(2/3)))</f>
        <v/>
      </c>
      <c r="I44" t="str">
        <f>IF(GDP!I44=0,"",GDP!I44/('Capital Est'!I44^(1/3)*Pop!I44^(2/3)))</f>
        <v/>
      </c>
      <c r="J44" t="str">
        <f>IF(GDP!J44=0,"",GDP!J44/('Capital Est'!J44^(1/3)*Pop!J44^(2/3)))</f>
        <v/>
      </c>
      <c r="K44" t="str">
        <f>IF(GDP!K44=0,"",GDP!K44/('Capital Est'!K44^(1/3)*Pop!K44^(2/3)))</f>
        <v/>
      </c>
      <c r="L44">
        <f>IF(GDP!L44=0,"",GDP!L44/('Capital Est'!L44^(1/3)*Pop!L44^(2/3)))</f>
        <v>8.5335115915304155E-2</v>
      </c>
    </row>
    <row r="45" spans="1:12" x14ac:dyDescent="0.25">
      <c r="A45" s="2">
        <v>33970</v>
      </c>
      <c r="B45">
        <f>IF(GDP!B45=0,"",GDP!B45/('Capital Est'!B45^(1/3)*Pop!B45^(2/3)))</f>
        <v>0.10615338079746425</v>
      </c>
      <c r="C45">
        <f>IF(GDP!C45=0,"",GDP!C45/('Capital Est'!C45^(1/3)*Pop!C45^(2/3)))</f>
        <v>8.2382037543220724E-2</v>
      </c>
      <c r="D45">
        <f>IF(GDP!D45=0,"",GDP!D45/('Capital Est'!D45^(1/3)*Pop!D45^(2/3)))</f>
        <v>5.8713189907523215E-2</v>
      </c>
      <c r="E45" t="str">
        <f>IF(GDP!E45=0,"",GDP!E45/('Capital Est'!E45^(1/3)*Pop!E45^(2/3)))</f>
        <v/>
      </c>
      <c r="F45">
        <f>IF(GDP!F45=0,"",GDP!F45/('Capital Est'!F45^(1/3)*Pop!F45^(2/3)))</f>
        <v>5.5753229955724182E-2</v>
      </c>
      <c r="G45" t="str">
        <f>IF(GDP!G45=0,"",GDP!G45/('Capital Est'!G45^(1/3)*Pop!G45^(2/3)))</f>
        <v/>
      </c>
      <c r="H45" t="str">
        <f>IF(GDP!H45=0,"",GDP!H45/('Capital Est'!H45^(1/3)*Pop!H45^(2/3)))</f>
        <v/>
      </c>
      <c r="I45" t="str">
        <f>IF(GDP!I45=0,"",GDP!I45/('Capital Est'!I45^(1/3)*Pop!I45^(2/3)))</f>
        <v/>
      </c>
      <c r="J45">
        <f>IF(GDP!J45=0,"",GDP!J45/('Capital Est'!J45^(1/3)*Pop!J45^(2/3)))</f>
        <v>0.20235239617530579</v>
      </c>
      <c r="K45" t="str">
        <f>IF(GDP!K45=0,"",GDP!K45/('Capital Est'!K45^(1/3)*Pop!K45^(2/3)))</f>
        <v/>
      </c>
      <c r="L45">
        <f>IF(GDP!L45=0,"",GDP!L45/('Capital Est'!L45^(1/3)*Pop!L45^(2/3)))</f>
        <v>8.6157851140608893E-2</v>
      </c>
    </row>
    <row r="46" spans="1:12" x14ac:dyDescent="0.25">
      <c r="A46" s="2">
        <v>34335</v>
      </c>
      <c r="B46">
        <f>IF(GDP!B46=0,"",GDP!B46/('Capital Est'!B46^(1/3)*Pop!B46^(2/3)))</f>
        <v>0.10919473834057192</v>
      </c>
      <c r="C46">
        <f>IF(GDP!C46=0,"",GDP!C46/('Capital Est'!C46^(1/3)*Pop!C46^(2/3)))</f>
        <v>8.4703014486683645E-2</v>
      </c>
      <c r="D46">
        <f>IF(GDP!D46=0,"",GDP!D46/('Capital Est'!D46^(1/3)*Pop!D46^(2/3)))</f>
        <v>5.9540498026140365E-2</v>
      </c>
      <c r="E46" t="str">
        <f>IF(GDP!E46=0,"",GDP!E46/('Capital Est'!E46^(1/3)*Pop!E46^(2/3)))</f>
        <v/>
      </c>
      <c r="F46">
        <f>IF(GDP!F46=0,"",GDP!F46/('Capital Est'!F46^(1/3)*Pop!F46^(2/3)))</f>
        <v>5.6538688980134172E-2</v>
      </c>
      <c r="G46" t="str">
        <f>IF(GDP!G46=0,"",GDP!G46/('Capital Est'!G46^(1/3)*Pop!G46^(2/3)))</f>
        <v/>
      </c>
      <c r="H46" t="str">
        <f>IF(GDP!H46=0,"",GDP!H46/('Capital Est'!H46^(1/3)*Pop!H46^(2/3)))</f>
        <v/>
      </c>
      <c r="I46">
        <f>IF(GDP!I46=0,"",GDP!I46/('Capital Est'!I46^(1/3)*Pop!I46^(2/3)))</f>
        <v>1.5849232161541413</v>
      </c>
      <c r="J46">
        <f>IF(GDP!J46=0,"",GDP!J46/('Capital Est'!J46^(1/3)*Pop!J46^(2/3)))</f>
        <v>0.2057475131521497</v>
      </c>
      <c r="K46" t="str">
        <f>IF(GDP!K46=0,"",GDP!K46/('Capital Est'!K46^(1/3)*Pop!K46^(2/3)))</f>
        <v/>
      </c>
      <c r="L46">
        <f>IF(GDP!L46=0,"",GDP!L46/('Capital Est'!L46^(1/3)*Pop!L46^(2/3)))</f>
        <v>8.8060238775706387E-2</v>
      </c>
    </row>
    <row r="47" spans="1:12" x14ac:dyDescent="0.25">
      <c r="A47" s="2">
        <v>34700</v>
      </c>
      <c r="B47">
        <f>IF(GDP!B47=0,"",GDP!B47/('Capital Est'!B47^(1/3)*Pop!B47^(2/3)))</f>
        <v>0.11057913716765252</v>
      </c>
      <c r="C47">
        <f>IF(GDP!C47=0,"",GDP!C47/('Capital Est'!C47^(1/3)*Pop!C47^(2/3)))</f>
        <v>8.568770712046514E-2</v>
      </c>
      <c r="D47">
        <f>IF(GDP!D47=0,"",GDP!D47/('Capital Est'!D47^(1/3)*Pop!D47^(2/3)))</f>
        <v>5.979701314214151E-2</v>
      </c>
      <c r="E47">
        <f>IF(GDP!E47=0,"",GDP!E47/('Capital Est'!E47^(1/3)*Pop!E47^(2/3)))</f>
        <v>0.43341448679546535</v>
      </c>
      <c r="F47">
        <f>IF(GDP!F47=0,"",GDP!F47/('Capital Est'!F47^(1/3)*Pop!F47^(2/3)))</f>
        <v>5.7304031713775905E-2</v>
      </c>
      <c r="G47">
        <f>IF(GDP!G47=0,"",GDP!G47/('Capital Est'!G47^(1/3)*Pop!G47^(2/3)))</f>
        <v>5.63008812069275E-2</v>
      </c>
      <c r="H47">
        <f>IF(GDP!H47=0,"",GDP!H47/('Capital Est'!H47^(1/3)*Pop!H47^(2/3)))</f>
        <v>5.8664920257860943E-2</v>
      </c>
      <c r="I47">
        <f>IF(GDP!I47=0,"",GDP!I47/('Capital Est'!I47^(1/3)*Pop!I47^(2/3)))</f>
        <v>1.5918195434694011</v>
      </c>
      <c r="J47">
        <f>IF(GDP!J47=0,"",GDP!J47/('Capital Est'!J47^(1/3)*Pop!J47^(2/3)))</f>
        <v>0.19045083839351884</v>
      </c>
      <c r="K47" t="str">
        <f>IF(GDP!K47=0,"",GDP!K47/('Capital Est'!K47^(1/3)*Pop!K47^(2/3)))</f>
        <v/>
      </c>
      <c r="L47">
        <f>IF(GDP!L47=0,"",GDP!L47/('Capital Est'!L47^(1/3)*Pop!L47^(2/3)))</f>
        <v>8.8818663237954232E-2</v>
      </c>
    </row>
    <row r="48" spans="1:12" x14ac:dyDescent="0.25">
      <c r="A48" s="2">
        <v>35065</v>
      </c>
      <c r="B48">
        <f>IF(GDP!B48=0,"",GDP!B48/('Capital Est'!B48^(1/3)*Pop!B48^(2/3)))</f>
        <v>0.11272284402317978</v>
      </c>
      <c r="C48">
        <f>IF(GDP!C48=0,"",GDP!C48/('Capital Est'!C48^(1/3)*Pop!C48^(2/3)))</f>
        <v>8.5780774333225979E-2</v>
      </c>
      <c r="D48">
        <f>IF(GDP!D48=0,"",GDP!D48/('Capital Est'!D48^(1/3)*Pop!D48^(2/3)))</f>
        <v>5.9818794280067367E-2</v>
      </c>
      <c r="E48">
        <f>IF(GDP!E48=0,"",GDP!E48/('Capital Est'!E48^(1/3)*Pop!E48^(2/3)))</f>
        <v>0.4446543959849027</v>
      </c>
      <c r="F48">
        <f>IF(GDP!F48=0,"",GDP!F48/('Capital Est'!F48^(1/3)*Pop!F48^(2/3)))</f>
        <v>5.7586914810568074E-2</v>
      </c>
      <c r="G48">
        <f>IF(GDP!G48=0,"",GDP!G48/('Capital Est'!G48^(1/3)*Pop!G48^(2/3)))</f>
        <v>5.7269802601388566E-2</v>
      </c>
      <c r="H48">
        <f>IF(GDP!H48=0,"",GDP!H48/('Capital Est'!H48^(1/3)*Pop!H48^(2/3)))</f>
        <v>5.8966004353139596E-2</v>
      </c>
      <c r="I48">
        <f>IF(GDP!I48=0,"",GDP!I48/('Capital Est'!I48^(1/3)*Pop!I48^(2/3)))</f>
        <v>1.6063708255227263</v>
      </c>
      <c r="J48">
        <f>IF(GDP!J48=0,"",GDP!J48/('Capital Est'!J48^(1/3)*Pop!J48^(2/3)))</f>
        <v>0.19853483201040442</v>
      </c>
      <c r="K48" t="str">
        <f>IF(GDP!K48=0,"",GDP!K48/('Capital Est'!K48^(1/3)*Pop!K48^(2/3)))</f>
        <v/>
      </c>
      <c r="L48">
        <f>IF(GDP!L48=0,"",GDP!L48/('Capital Est'!L48^(1/3)*Pop!L48^(2/3)))</f>
        <v>9.0457445599275488E-2</v>
      </c>
    </row>
    <row r="49" spans="1:24" x14ac:dyDescent="0.25">
      <c r="A49" s="2">
        <v>35431</v>
      </c>
      <c r="B49">
        <f>IF(GDP!B49=0,"",GDP!B49/('Capital Est'!B49^(1/3)*Pop!B49^(2/3)))</f>
        <v>0.11504272673072535</v>
      </c>
      <c r="C49">
        <f>IF(GDP!C49=0,"",GDP!C49/('Capital Est'!C49^(1/3)*Pop!C49^(2/3)))</f>
        <v>8.7925718272545195E-2</v>
      </c>
      <c r="D49">
        <f>IF(GDP!D49=0,"",GDP!D49/('Capital Est'!D49^(1/3)*Pop!D49^(2/3)))</f>
        <v>6.0405611325921531E-2</v>
      </c>
      <c r="E49">
        <f>IF(GDP!E49=0,"",GDP!E49/('Capital Est'!E49^(1/3)*Pop!E49^(2/3)))</f>
        <v>0.45926435936322479</v>
      </c>
      <c r="F49">
        <f>IF(GDP!F49=0,"",GDP!F49/('Capital Est'!F49^(1/3)*Pop!F49^(2/3)))</f>
        <v>5.853618525612847E-2</v>
      </c>
      <c r="G49">
        <f>IF(GDP!G49=0,"",GDP!G49/('Capital Est'!G49^(1/3)*Pop!G49^(2/3)))</f>
        <v>5.962529761650312E-2</v>
      </c>
      <c r="H49">
        <f>IF(GDP!H49=0,"",GDP!H49/('Capital Est'!H49^(1/3)*Pop!H49^(2/3)))</f>
        <v>5.9600630426851361E-2</v>
      </c>
      <c r="I49">
        <f>IF(GDP!I49=0,"",GDP!I49/('Capital Est'!I49^(1/3)*Pop!I49^(2/3)))</f>
        <v>1.5910520396183496</v>
      </c>
      <c r="J49">
        <f>IF(GDP!J49=0,"",GDP!J49/('Capital Est'!J49^(1/3)*Pop!J49^(2/3)))</f>
        <v>0.20840635184651099</v>
      </c>
      <c r="K49" t="str">
        <f>IF(GDP!K49=0,"",GDP!K49/('Capital Est'!K49^(1/3)*Pop!K49^(2/3)))</f>
        <v/>
      </c>
      <c r="L49">
        <f>IF(GDP!L49=0,"",GDP!L49/('Capital Est'!L49^(1/3)*Pop!L49^(2/3)))</f>
        <v>9.2618802386938592E-2</v>
      </c>
    </row>
    <row r="50" spans="1:24" x14ac:dyDescent="0.25">
      <c r="A50" s="2">
        <v>35796</v>
      </c>
      <c r="B50">
        <f>IF(GDP!B50=0,"",GDP!B50/('Capital Est'!B50^(1/3)*Pop!B50^(2/3)))</f>
        <v>0.11836373696787376</v>
      </c>
      <c r="C50">
        <f>IF(GDP!C50=0,"",GDP!C50/('Capital Est'!C50^(1/3)*Pop!C50^(2/3)))</f>
        <v>8.9887601365413336E-2</v>
      </c>
      <c r="D50">
        <f>IF(GDP!D50=0,"",GDP!D50/('Capital Est'!D50^(1/3)*Pop!D50^(2/3)))</f>
        <v>6.1175166968823372E-2</v>
      </c>
      <c r="E50">
        <f>IF(GDP!E50=0,"",GDP!E50/('Capital Est'!E50^(1/3)*Pop!E50^(2/3)))</f>
        <v>0.47624278282441951</v>
      </c>
      <c r="F50">
        <f>IF(GDP!F50=0,"",GDP!F50/('Capital Est'!F50^(1/3)*Pop!F50^(2/3)))</f>
        <v>5.9981961244061702E-2</v>
      </c>
      <c r="G50">
        <f>IF(GDP!G50=0,"",GDP!G50/('Capital Est'!G50^(1/3)*Pop!G50^(2/3)))</f>
        <v>6.1125175504786078E-2</v>
      </c>
      <c r="H50">
        <f>IF(GDP!H50=0,"",GDP!H50/('Capital Est'!H50^(1/3)*Pop!H50^(2/3)))</f>
        <v>6.0161201220812997E-2</v>
      </c>
      <c r="I50">
        <f>IF(GDP!I50=0,"",GDP!I50/('Capital Est'!I50^(1/3)*Pop!I50^(2/3)))</f>
        <v>1.5446819297047032</v>
      </c>
      <c r="J50">
        <f>IF(GDP!J50=0,"",GDP!J50/('Capital Est'!J50^(1/3)*Pop!J50^(2/3)))</f>
        <v>0.21639589497151041</v>
      </c>
      <c r="K50">
        <f>IF(GDP!K50=0,"",GDP!K50/('Capital Est'!K50^(1/3)*Pop!K50^(2/3)))</f>
        <v>3.6482463430425216E-2</v>
      </c>
      <c r="L50">
        <f>IF(GDP!L50=0,"",GDP!L50/('Capital Est'!L50^(1/3)*Pop!L50^(2/3)))</f>
        <v>9.4761702566626388E-2</v>
      </c>
    </row>
    <row r="51" spans="1:24" x14ac:dyDescent="0.25">
      <c r="A51" s="2">
        <v>36161</v>
      </c>
      <c r="B51">
        <f>IF(GDP!B51=0,"",GDP!B51/('Capital Est'!B51^(1/3)*Pop!B51^(2/3)))</f>
        <v>0.12068119242976068</v>
      </c>
      <c r="C51">
        <f>IF(GDP!C51=0,"",GDP!C51/('Capital Est'!C51^(1/3)*Pop!C51^(2/3)))</f>
        <v>9.2967780450139967E-2</v>
      </c>
      <c r="D51">
        <f>IF(GDP!D51=0,"",GDP!D51/('Capital Est'!D51^(1/3)*Pop!D51^(2/3)))</f>
        <v>6.1931084187882672E-2</v>
      </c>
      <c r="E51">
        <f>IF(GDP!E51=0,"",GDP!E51/('Capital Est'!E51^(1/3)*Pop!E51^(2/3)))</f>
        <v>0.48951278355882477</v>
      </c>
      <c r="F51">
        <f>IF(GDP!F51=0,"",GDP!F51/('Capital Est'!F51^(1/3)*Pop!F51^(2/3)))</f>
        <v>6.130660370819304E-2</v>
      </c>
      <c r="G51">
        <f>IF(GDP!G51=0,"",GDP!G51/('Capital Est'!G51^(1/3)*Pop!G51^(2/3)))</f>
        <v>6.2438418468636479E-2</v>
      </c>
      <c r="H51">
        <f>IF(GDP!H51=0,"",GDP!H51/('Capital Est'!H51^(1/3)*Pop!H51^(2/3)))</f>
        <v>6.063039538913121E-2</v>
      </c>
      <c r="I51">
        <f>IF(GDP!I51=0,"",GDP!I51/('Capital Est'!I51^(1/3)*Pop!I51^(2/3)))</f>
        <v>1.517048767332098</v>
      </c>
      <c r="J51">
        <f>IF(GDP!J51=0,"",GDP!J51/('Capital Est'!J51^(1/3)*Pop!J51^(2/3)))</f>
        <v>0.21744142404104258</v>
      </c>
      <c r="K51">
        <f>IF(GDP!K51=0,"",GDP!K51/('Capital Est'!K51^(1/3)*Pop!K51^(2/3)))</f>
        <v>3.4774936255059903E-2</v>
      </c>
      <c r="L51">
        <f>IF(GDP!L51=0,"",GDP!L51/('Capital Est'!L51^(1/3)*Pop!L51^(2/3)))</f>
        <v>9.7145840115244644E-2</v>
      </c>
    </row>
    <row r="52" spans="1:24" x14ac:dyDescent="0.25">
      <c r="A52" s="2">
        <v>36526</v>
      </c>
      <c r="B52">
        <f>IF(GDP!B52=0,"",GDP!B52/('Capital Est'!B52^(1/3)*Pop!B52^(2/3)))</f>
        <v>0.12216468801093003</v>
      </c>
      <c r="C52">
        <f>IF(GDP!C52=0,"",GDP!C52/('Capital Est'!C52^(1/3)*Pop!C52^(2/3)))</f>
        <v>9.6037815248212269E-2</v>
      </c>
      <c r="D52">
        <f>IF(GDP!D52=0,"",GDP!D52/('Capital Est'!D52^(1/3)*Pop!D52^(2/3)))</f>
        <v>6.3131208914372378E-2</v>
      </c>
      <c r="E52">
        <f>IF(GDP!E52=0,"",GDP!E52/('Capital Est'!E52^(1/3)*Pop!E52^(2/3)))</f>
        <v>0.50588823308576725</v>
      </c>
      <c r="F52">
        <f>IF(GDP!F52=0,"",GDP!F52/('Capital Est'!F52^(1/3)*Pop!F52^(2/3)))</f>
        <v>6.29847314510949E-2</v>
      </c>
      <c r="G52">
        <f>IF(GDP!G52=0,"",GDP!G52/('Capital Est'!G52^(1/3)*Pop!G52^(2/3)))</f>
        <v>6.4498748750476814E-2</v>
      </c>
      <c r="H52">
        <f>IF(GDP!H52=0,"",GDP!H52/('Capital Est'!H52^(1/3)*Pop!H52^(2/3)))</f>
        <v>6.2360295663589964E-2</v>
      </c>
      <c r="I52">
        <f>IF(GDP!I52=0,"",GDP!I52/('Capital Est'!I52^(1/3)*Pop!I52^(2/3)))</f>
        <v>1.5377344840761726</v>
      </c>
      <c r="J52">
        <f>IF(GDP!J52=0,"",GDP!J52/('Capital Est'!J52^(1/3)*Pop!J52^(2/3)))</f>
        <v>0.22333669952239646</v>
      </c>
      <c r="K52">
        <f>IF(GDP!K52=0,"",GDP!K52/('Capital Est'!K52^(1/3)*Pop!K52^(2/3)))</f>
        <v>3.6521425624368643E-2</v>
      </c>
      <c r="L52">
        <f>IF(GDP!L52=0,"",GDP!L52/('Capital Est'!L52^(1/3)*Pop!L52^(2/3)))</f>
        <v>9.8886595141585459E-2</v>
      </c>
      <c r="N52" s="14">
        <f t="shared" ref="N52" si="0">B52/B$62</f>
        <v>0.95334964133977118</v>
      </c>
      <c r="O52" s="14">
        <f t="shared" ref="O52" si="1">C52/C$62</f>
        <v>1.0074103807160213</v>
      </c>
      <c r="P52" s="14">
        <f t="shared" ref="P52" si="2">D52/D$62</f>
        <v>0.96193033250201532</v>
      </c>
      <c r="Q52" s="14">
        <f t="shared" ref="Q52" si="3">E52/E$62</f>
        <v>0.90311479216130119</v>
      </c>
      <c r="R52" s="14">
        <f t="shared" ref="R52" si="4">F52/F$62</f>
        <v>0.99243272210754518</v>
      </c>
      <c r="S52" s="14">
        <f t="shared" ref="S52" si="5">G52/G$62</f>
        <v>0.9658010213947964</v>
      </c>
      <c r="T52" s="14">
        <f t="shared" ref="T52" si="6">H52/H$62</f>
        <v>1.0793924334400178</v>
      </c>
      <c r="U52" s="14">
        <f t="shared" ref="U52" si="7">I52/I$62</f>
        <v>1.0231718723747136</v>
      </c>
      <c r="V52" s="14">
        <f t="shared" ref="V52" si="8">J52/J$62</f>
        <v>1.073546106753636</v>
      </c>
      <c r="W52" s="14">
        <f t="shared" ref="W52" si="9">K52/K$62</f>
        <v>0.83703382112448188</v>
      </c>
      <c r="X52" s="14">
        <f t="shared" ref="X52" si="10">L52/L$62</f>
        <v>0.99771597084653485</v>
      </c>
    </row>
    <row r="53" spans="1:24" x14ac:dyDescent="0.25">
      <c r="A53" s="2">
        <v>36892</v>
      </c>
      <c r="B53">
        <f>IF(GDP!B53=0,"",GDP!B53/('Capital Est'!B53^(1/3)*Pop!B53^(2/3)))</f>
        <v>0.12297622553348844</v>
      </c>
      <c r="C53">
        <f>IF(GDP!C53=0,"",GDP!C53/('Capital Est'!C53^(1/3)*Pop!C53^(2/3)))</f>
        <v>9.6000732731858371E-2</v>
      </c>
      <c r="D53">
        <f>IF(GDP!D53=0,"",GDP!D53/('Capital Est'!D53^(1/3)*Pop!D53^(2/3)))</f>
        <v>6.363199714265963E-2</v>
      </c>
      <c r="E53">
        <f>IF(GDP!E53=0,"",GDP!E53/('Capital Est'!E53^(1/3)*Pop!E53^(2/3)))</f>
        <v>0.52035315204417831</v>
      </c>
      <c r="F53">
        <f>IF(GDP!F53=0,"",GDP!F53/('Capital Est'!F53^(1/3)*Pop!F53^(2/3)))</f>
        <v>6.330687744399259E-2</v>
      </c>
      <c r="G53">
        <f>IF(GDP!G53=0,"",GDP!G53/('Capital Est'!G53^(1/3)*Pop!G53^(2/3)))</f>
        <v>6.5507173744541042E-2</v>
      </c>
      <c r="H53">
        <f>IF(GDP!H53=0,"",GDP!H53/('Capital Est'!H53^(1/3)*Pop!H53^(2/3)))</f>
        <v>6.2984085436102621E-2</v>
      </c>
      <c r="I53">
        <f>IF(GDP!I53=0,"",GDP!I53/('Capital Est'!I53^(1/3)*Pop!I53^(2/3)))</f>
        <v>1.5238052579554595</v>
      </c>
      <c r="J53">
        <f>IF(GDP!J53=0,"",GDP!J53/('Capital Est'!J53^(1/3)*Pop!J53^(2/3)))</f>
        <v>0.21802251823889249</v>
      </c>
      <c r="K53">
        <f>IF(GDP!K53=0,"",GDP!K53/('Capital Est'!K53^(1/3)*Pop!K53^(2/3)))</f>
        <v>3.4009584187076759E-2</v>
      </c>
      <c r="L53">
        <f>IF(GDP!L53=0,"",GDP!L53/('Capital Est'!L53^(1/3)*Pop!L53^(2/3)))</f>
        <v>9.784568387970774E-2</v>
      </c>
      <c r="N53" s="14">
        <f t="shared" ref="N53:N61" si="11">B53/B$62</f>
        <v>0.95968272349846839</v>
      </c>
      <c r="O53" s="14">
        <f t="shared" ref="O53:O75" si="12">C53/C$62</f>
        <v>1.0070213952750109</v>
      </c>
      <c r="P53" s="14">
        <f t="shared" ref="P53:P75" si="13">D53/D$62</f>
        <v>0.96956084354771443</v>
      </c>
      <c r="Q53" s="14">
        <f t="shared" ref="Q53:Q75" si="14">E53/E$62</f>
        <v>0.92893765465223543</v>
      </c>
      <c r="R53" s="14">
        <f t="shared" ref="R53:R75" si="15">F53/F$62</f>
        <v>0.99750868603216292</v>
      </c>
      <c r="S53" s="14">
        <f t="shared" ref="S53:S75" si="16">G53/G$62</f>
        <v>0.98090112656172146</v>
      </c>
      <c r="T53" s="14">
        <f t="shared" ref="T53:T75" si="17">H53/H$62</f>
        <v>1.0901895913646644</v>
      </c>
      <c r="U53" s="14">
        <f t="shared" ref="U53:U75" si="18">I53/I$62</f>
        <v>1.0139036973300322</v>
      </c>
      <c r="V53" s="14">
        <f t="shared" ref="V53:V75" si="19">J53/J$62</f>
        <v>1.0480016322463614</v>
      </c>
      <c r="W53" s="14">
        <f t="shared" ref="W53:W75" si="20">K53/K$62</f>
        <v>0.77946497762040023</v>
      </c>
      <c r="X53" s="14">
        <f t="shared" ref="X53:X75" si="21">L53/L$62</f>
        <v>0.98721370015228704</v>
      </c>
    </row>
    <row r="54" spans="1:24" x14ac:dyDescent="0.25">
      <c r="A54" s="2">
        <v>37257</v>
      </c>
      <c r="B54">
        <f>IF(GDP!B54=0,"",GDP!B54/('Capital Est'!B54^(1/3)*Pop!B54^(2/3)))</f>
        <v>0.1251461182871145</v>
      </c>
      <c r="C54">
        <f>IF(GDP!C54=0,"",GDP!C54/('Capital Est'!C54^(1/3)*Pop!C54^(2/3)))</f>
        <v>9.7082617439429031E-2</v>
      </c>
      <c r="D54">
        <f>IF(GDP!D54=0,"",GDP!D54/('Capital Est'!D54^(1/3)*Pop!D54^(2/3)))</f>
        <v>6.3063060005883798E-2</v>
      </c>
      <c r="E54">
        <f>IF(GDP!E54=0,"",GDP!E54/('Capital Est'!E54^(1/3)*Pop!E54^(2/3)))</f>
        <v>0.52927526134185066</v>
      </c>
      <c r="F54">
        <f>IF(GDP!F54=0,"",GDP!F54/('Capital Est'!F54^(1/3)*Pop!F54^(2/3)))</f>
        <v>6.3160344387303002E-2</v>
      </c>
      <c r="G54">
        <f>IF(GDP!G54=0,"",GDP!G54/('Capital Est'!G54^(1/3)*Pop!G54^(2/3)))</f>
        <v>6.6007419446909701E-2</v>
      </c>
      <c r="H54">
        <f>IF(GDP!H54=0,"",GDP!H54/('Capital Est'!H54^(1/3)*Pop!H54^(2/3)))</f>
        <v>6.2482844351210161E-2</v>
      </c>
      <c r="I54">
        <f>IF(GDP!I54=0,"",GDP!I54/('Capital Est'!I54^(1/3)*Pop!I54^(2/3)))</f>
        <v>1.5078238233826569</v>
      </c>
      <c r="J54">
        <f>IF(GDP!J54=0,"",GDP!J54/('Capital Est'!J54^(1/3)*Pop!J54^(2/3)))</f>
        <v>0.21347876811116617</v>
      </c>
      <c r="K54">
        <f>IF(GDP!K54=0,"",GDP!K54/('Capital Est'!K54^(1/3)*Pop!K54^(2/3)))</f>
        <v>3.5696067112214833E-2</v>
      </c>
      <c r="L54">
        <f>IF(GDP!L54=0,"",GDP!L54/('Capital Est'!L54^(1/3)*Pop!L54^(2/3)))</f>
        <v>9.7712900417526283E-2</v>
      </c>
      <c r="N54" s="14">
        <f t="shared" si="11"/>
        <v>0.97661614764988991</v>
      </c>
      <c r="O54" s="14">
        <f t="shared" si="12"/>
        <v>1.0183700695688578</v>
      </c>
      <c r="P54" s="14">
        <f t="shared" si="13"/>
        <v>0.96089194747297235</v>
      </c>
      <c r="Q54" s="14">
        <f t="shared" si="14"/>
        <v>0.94486545916917042</v>
      </c>
      <c r="R54" s="14">
        <f t="shared" si="15"/>
        <v>0.9951998058166126</v>
      </c>
      <c r="S54" s="14">
        <f t="shared" si="16"/>
        <v>0.98839178056130683</v>
      </c>
      <c r="T54" s="14">
        <f t="shared" si="17"/>
        <v>1.0815136248926505</v>
      </c>
      <c r="U54" s="14">
        <f t="shared" si="18"/>
        <v>1.0032700316976249</v>
      </c>
      <c r="V54" s="14">
        <f t="shared" si="19"/>
        <v>1.0261605050598608</v>
      </c>
      <c r="W54" s="14">
        <f t="shared" si="20"/>
        <v>0.81811744594429847</v>
      </c>
      <c r="X54" s="14">
        <f t="shared" si="21"/>
        <v>0.98587398185484698</v>
      </c>
    </row>
    <row r="55" spans="1:24" x14ac:dyDescent="0.25">
      <c r="A55" s="2">
        <v>37622</v>
      </c>
      <c r="B55">
        <f>IF(GDP!B55=0,"",GDP!B55/('Capital Est'!B55^(1/3)*Pop!B55^(2/3)))</f>
        <v>0.12610667527853969</v>
      </c>
      <c r="C55">
        <f>IF(GDP!C55=0,"",GDP!C55/('Capital Est'!C55^(1/3)*Pop!C55^(2/3)))</f>
        <v>9.7118840925746547E-2</v>
      </c>
      <c r="D55">
        <f>IF(GDP!D55=0,"",GDP!D55/('Capital Est'!D55^(1/3)*Pop!D55^(2/3)))</f>
        <v>6.2394935827202729E-2</v>
      </c>
      <c r="E55">
        <f>IF(GDP!E55=0,"",GDP!E55/('Capital Est'!E55^(1/3)*Pop!E55^(2/3)))</f>
        <v>0.5389929678195764</v>
      </c>
      <c r="F55">
        <f>IF(GDP!F55=0,"",GDP!F55/('Capital Est'!F55^(1/3)*Pop!F55^(2/3)))</f>
        <v>6.2960761065747842E-2</v>
      </c>
      <c r="G55">
        <f>IF(GDP!G55=0,"",GDP!G55/('Capital Est'!G55^(1/3)*Pop!G55^(2/3)))</f>
        <v>6.7373682133831783E-2</v>
      </c>
      <c r="H55">
        <f>IF(GDP!H55=0,"",GDP!H55/('Capital Est'!H55^(1/3)*Pop!H55^(2/3)))</f>
        <v>6.1789956050297239E-2</v>
      </c>
      <c r="I55">
        <f>IF(GDP!I55=0,"",GDP!I55/('Capital Est'!I55^(1/3)*Pop!I55^(2/3)))</f>
        <v>1.5156124774085447</v>
      </c>
      <c r="J55">
        <f>IF(GDP!J55=0,"",GDP!J55/('Capital Est'!J55^(1/3)*Pop!J55^(2/3)))</f>
        <v>0.21209388129307974</v>
      </c>
      <c r="K55">
        <f>IF(GDP!K55=0,"",GDP!K55/('Capital Est'!K55^(1/3)*Pop!K55^(2/3)))</f>
        <v>3.7127063968114819E-2</v>
      </c>
      <c r="L55">
        <f>IF(GDP!L55=0,"",GDP!L55/('Capital Est'!L55^(1/3)*Pop!L55^(2/3)))</f>
        <v>9.8662861566969295E-2</v>
      </c>
      <c r="N55" s="14">
        <f t="shared" si="11"/>
        <v>0.98411214897540955</v>
      </c>
      <c r="O55" s="14">
        <f t="shared" si="12"/>
        <v>1.0187500440200432</v>
      </c>
      <c r="P55" s="14">
        <f t="shared" si="13"/>
        <v>0.95071173828003541</v>
      </c>
      <c r="Q55" s="14">
        <f t="shared" si="14"/>
        <v>0.96221356867625185</v>
      </c>
      <c r="R55" s="14">
        <f t="shared" si="15"/>
        <v>0.99205502747851571</v>
      </c>
      <c r="S55" s="14">
        <f t="shared" si="16"/>
        <v>1.0088501293523473</v>
      </c>
      <c r="T55" s="14">
        <f t="shared" si="17"/>
        <v>1.0695204426720408</v>
      </c>
      <c r="U55" s="14">
        <f t="shared" si="18"/>
        <v>1.0084524164366484</v>
      </c>
      <c r="V55" s="14">
        <f t="shared" si="19"/>
        <v>1.0195035612838022</v>
      </c>
      <c r="W55" s="14">
        <f t="shared" si="20"/>
        <v>0.85091443417336332</v>
      </c>
      <c r="X55" s="14">
        <f t="shared" si="21"/>
        <v>0.99545861169396699</v>
      </c>
    </row>
    <row r="56" spans="1:24" x14ac:dyDescent="0.25">
      <c r="A56" s="2">
        <v>37987</v>
      </c>
      <c r="B56">
        <f>IF(GDP!B56=0,"",GDP!B56/('Capital Est'!B56^(1/3)*Pop!B56^(2/3)))</f>
        <v>0.12809493119093457</v>
      </c>
      <c r="C56">
        <f>IF(GDP!C56=0,"",GDP!C56/('Capital Est'!C56^(1/3)*Pop!C56^(2/3)))</f>
        <v>9.8247900883550537E-2</v>
      </c>
      <c r="D56">
        <f>IF(GDP!D56=0,"",GDP!D56/('Capital Est'!D56^(1/3)*Pop!D56^(2/3)))</f>
        <v>6.2838290795691545E-2</v>
      </c>
      <c r="E56">
        <f>IF(GDP!E56=0,"",GDP!E56/('Capital Est'!E56^(1/3)*Pop!E56^(2/3)))</f>
        <v>0.54971783550774556</v>
      </c>
      <c r="F56">
        <f>IF(GDP!F56=0,"",GDP!F56/('Capital Est'!F56^(1/3)*Pop!F56^(2/3)))</f>
        <v>6.3917491022704817E-2</v>
      </c>
      <c r="G56">
        <f>IF(GDP!G56=0,"",GDP!G56/('Capital Est'!G56^(1/3)*Pop!G56^(2/3)))</f>
        <v>6.823544363651976E-2</v>
      </c>
      <c r="H56">
        <f>IF(GDP!H56=0,"",GDP!H56/('Capital Est'!H56^(1/3)*Pop!H56^(2/3)))</f>
        <v>6.1894063257442178E-2</v>
      </c>
      <c r="I56">
        <f>IF(GDP!I56=0,"",GDP!I56/('Capital Est'!I56^(1/3)*Pop!I56^(2/3)))</f>
        <v>1.5358062746627723</v>
      </c>
      <c r="J56">
        <f>IF(GDP!J56=0,"",GDP!J56/('Capital Est'!J56^(1/3)*Pop!J56^(2/3)))</f>
        <v>0.21551714464311844</v>
      </c>
      <c r="K56">
        <f>IF(GDP!K56=0,"",GDP!K56/('Capital Est'!K56^(1/3)*Pop!K56^(2/3)))</f>
        <v>3.9839177108316116E-2</v>
      </c>
      <c r="L56">
        <f>IF(GDP!L56=0,"",GDP!L56/('Capital Est'!L56^(1/3)*Pop!L56^(2/3)))</f>
        <v>0.10054278387440146</v>
      </c>
      <c r="N56" s="14">
        <f t="shared" si="11"/>
        <v>0.99962811428286191</v>
      </c>
      <c r="O56" s="14">
        <f t="shared" si="12"/>
        <v>1.0305935737692657</v>
      </c>
      <c r="P56" s="14">
        <f t="shared" si="13"/>
        <v>0.95746713865314281</v>
      </c>
      <c r="Q56" s="14">
        <f t="shared" si="14"/>
        <v>0.98135966858468016</v>
      </c>
      <c r="R56" s="14">
        <f t="shared" si="15"/>
        <v>1.0071299526806956</v>
      </c>
      <c r="S56" s="14">
        <f t="shared" si="16"/>
        <v>1.0217541027722752</v>
      </c>
      <c r="T56" s="14">
        <f t="shared" si="17"/>
        <v>1.0713224311081611</v>
      </c>
      <c r="U56" s="14">
        <f t="shared" si="18"/>
        <v>1.0218888877916992</v>
      </c>
      <c r="V56" s="14">
        <f t="shared" si="19"/>
        <v>1.035958676138125</v>
      </c>
      <c r="W56" s="14">
        <f t="shared" si="20"/>
        <v>0.91307330081820426</v>
      </c>
      <c r="X56" s="14">
        <f t="shared" si="21"/>
        <v>1.0144260815253454</v>
      </c>
    </row>
    <row r="57" spans="1:24" x14ac:dyDescent="0.25">
      <c r="A57" s="2">
        <v>38353</v>
      </c>
      <c r="B57">
        <f>IF(GDP!B57=0,"",GDP!B57/('Capital Est'!B57^(1/3)*Pop!B57^(2/3)))</f>
        <v>0.12869727127928809</v>
      </c>
      <c r="C57">
        <f>IF(GDP!C57=0,"",GDP!C57/('Capital Est'!C57^(1/3)*Pop!C57^(2/3)))</f>
        <v>9.9367345802572685E-2</v>
      </c>
      <c r="D57">
        <f>IF(GDP!D57=0,"",GDP!D57/('Capital Est'!D57^(1/3)*Pop!D57^(2/3)))</f>
        <v>6.3132039655669506E-2</v>
      </c>
      <c r="E57">
        <f>IF(GDP!E57=0,"",GDP!E57/('Capital Est'!E57^(1/3)*Pop!E57^(2/3)))</f>
        <v>0.56258314651005314</v>
      </c>
      <c r="F57">
        <f>IF(GDP!F57=0,"",GDP!F57/('Capital Est'!F57^(1/3)*Pop!F57^(2/3)))</f>
        <v>6.4258492606844977E-2</v>
      </c>
      <c r="G57">
        <f>IF(GDP!G57=0,"",GDP!G57/('Capital Est'!G57^(1/3)*Pop!G57^(2/3)))</f>
        <v>6.9239061483399242E-2</v>
      </c>
      <c r="H57">
        <f>IF(GDP!H57=0,"",GDP!H57/('Capital Est'!H57^(1/3)*Pop!H57^(2/3)))</f>
        <v>6.1639806218992621E-2</v>
      </c>
      <c r="I57">
        <f>IF(GDP!I57=0,"",GDP!I57/('Capital Est'!I57^(1/3)*Pop!I57^(2/3)))</f>
        <v>1.5505440455342907</v>
      </c>
      <c r="J57">
        <f>IF(GDP!J57=0,"",GDP!J57/('Capital Est'!J57^(1/3)*Pop!J57^(2/3)))</f>
        <v>0.21588357647313886</v>
      </c>
      <c r="K57">
        <f>IF(GDP!K57=0,"",GDP!K57/('Capital Est'!K57^(1/3)*Pop!K57^(2/3)))</f>
        <v>4.227768960268187E-2</v>
      </c>
      <c r="L57">
        <f>IF(GDP!L57=0,"",GDP!L57/('Capital Est'!L57^(1/3)*Pop!L57^(2/3)))</f>
        <v>0.10204777487040628</v>
      </c>
      <c r="N57" s="14">
        <f t="shared" si="11"/>
        <v>1.0043286600505965</v>
      </c>
      <c r="O57" s="14">
        <f t="shared" si="12"/>
        <v>1.0423362443948734</v>
      </c>
      <c r="P57" s="14">
        <f t="shared" si="13"/>
        <v>0.96194299050850551</v>
      </c>
      <c r="Q57" s="14">
        <f t="shared" si="14"/>
        <v>1.0043269010918843</v>
      </c>
      <c r="R57" s="14">
        <f t="shared" si="15"/>
        <v>1.0125030188602977</v>
      </c>
      <c r="S57" s="14">
        <f t="shared" si="16"/>
        <v>1.0367822259589143</v>
      </c>
      <c r="T57" s="14">
        <f t="shared" si="17"/>
        <v>1.0669215038750408</v>
      </c>
      <c r="U57" s="14">
        <f t="shared" si="18"/>
        <v>1.0316950492411514</v>
      </c>
      <c r="V57" s="14">
        <f t="shared" si="19"/>
        <v>1.0377200591322782</v>
      </c>
      <c r="W57" s="14">
        <f t="shared" si="20"/>
        <v>0.96896151975062295</v>
      </c>
      <c r="X57" s="14">
        <f t="shared" si="21"/>
        <v>1.0296106831444456</v>
      </c>
    </row>
    <row r="58" spans="1:24" x14ac:dyDescent="0.25">
      <c r="A58" s="2">
        <v>38718</v>
      </c>
      <c r="B58">
        <f>IF(GDP!B58=0,"",GDP!B58/('Capital Est'!B58^(1/3)*Pop!B58^(2/3)))</f>
        <v>0.12882152834886071</v>
      </c>
      <c r="C58">
        <f>IF(GDP!C58=0,"",GDP!C58/('Capital Est'!C58^(1/3)*Pop!C58^(2/3)))</f>
        <v>9.9847026961496624E-2</v>
      </c>
      <c r="D58">
        <f>IF(GDP!D58=0,"",GDP!D58/('Capital Est'!D58^(1/3)*Pop!D58^(2/3)))</f>
        <v>6.5248828664525194E-2</v>
      </c>
      <c r="E58">
        <f>IF(GDP!E58=0,"",GDP!E58/('Capital Est'!E58^(1/3)*Pop!E58^(2/3)))</f>
        <v>0.57817194408169481</v>
      </c>
      <c r="F58">
        <f>IF(GDP!F58=0,"",GDP!F58/('Capital Est'!F58^(1/3)*Pop!F58^(2/3)))</f>
        <v>6.5124454087747141E-2</v>
      </c>
      <c r="G58">
        <f>IF(GDP!G58=0,"",GDP!G58/('Capital Est'!G58^(1/3)*Pop!G58^(2/3)))</f>
        <v>6.9986655440492665E-2</v>
      </c>
      <c r="H58">
        <f>IF(GDP!H58=0,"",GDP!H58/('Capital Est'!H58^(1/3)*Pop!H58^(2/3)))</f>
        <v>6.2096746846422121E-2</v>
      </c>
      <c r="I58">
        <f>IF(GDP!I58=0,"",GDP!I58/('Capital Est'!I58^(1/3)*Pop!I58^(2/3)))</f>
        <v>1.5589059952321374</v>
      </c>
      <c r="J58">
        <f>IF(GDP!J58=0,"",GDP!J58/('Capital Est'!J58^(1/3)*Pop!J58^(2/3)))</f>
        <v>0.22173344180113455</v>
      </c>
      <c r="K58">
        <f>IF(GDP!K58=0,"",GDP!K58/('Capital Est'!K58^(1/3)*Pop!K58^(2/3)))</f>
        <v>4.3915664863652476E-2</v>
      </c>
      <c r="L58">
        <f>IF(GDP!L58=0,"",GDP!L58/('Capital Est'!L58^(1/3)*Pop!L58^(2/3)))</f>
        <v>0.10288163046902749</v>
      </c>
      <c r="N58" s="14">
        <f t="shared" si="11"/>
        <v>1.0052983382337093</v>
      </c>
      <c r="O58" s="14">
        <f t="shared" si="12"/>
        <v>1.0473679683848969</v>
      </c>
      <c r="P58" s="14">
        <f t="shared" si="13"/>
        <v>0.99419650806567694</v>
      </c>
      <c r="Q58" s="14">
        <f t="shared" si="14"/>
        <v>1.0321561186111046</v>
      </c>
      <c r="R58" s="14">
        <f t="shared" si="15"/>
        <v>1.0261477306806428</v>
      </c>
      <c r="S58" s="14">
        <f t="shared" si="16"/>
        <v>1.0479766602903877</v>
      </c>
      <c r="T58" s="14">
        <f t="shared" si="17"/>
        <v>1.0748306750957717</v>
      </c>
      <c r="U58" s="14">
        <f t="shared" si="18"/>
        <v>1.0372588912552614</v>
      </c>
      <c r="V58" s="14">
        <f t="shared" si="19"/>
        <v>1.0658394867110541</v>
      </c>
      <c r="W58" s="14">
        <f t="shared" si="20"/>
        <v>1.0065022418927174</v>
      </c>
      <c r="X58" s="14">
        <f t="shared" si="21"/>
        <v>1.0380238664169912</v>
      </c>
    </row>
    <row r="59" spans="1:24" x14ac:dyDescent="0.25">
      <c r="A59" s="2">
        <v>39083</v>
      </c>
      <c r="B59">
        <f>IF(GDP!B59=0,"",GDP!B59/('Capital Est'!B59^(1/3)*Pop!B59^(2/3)))</f>
        <v>0.13050636777628918</v>
      </c>
      <c r="C59">
        <f>IF(GDP!C59=0,"",GDP!C59/('Capital Est'!C59^(1/3)*Pop!C59^(2/3)))</f>
        <v>9.9815387207494569E-2</v>
      </c>
      <c r="D59">
        <f>IF(GDP!D59=0,"",GDP!D59/('Capital Est'!D59^(1/3)*Pop!D59^(2/3)))</f>
        <v>6.6795311323797957E-2</v>
      </c>
      <c r="E59">
        <f>IF(GDP!E59=0,"",GDP!E59/('Capital Est'!E59^(1/3)*Pop!E59^(2/3)))</f>
        <v>0.59091471244581828</v>
      </c>
      <c r="F59">
        <f>IF(GDP!F59=0,"",GDP!F59/('Capital Est'!F59^(1/3)*Pop!F59^(2/3)))</f>
        <v>6.5879232650022573E-2</v>
      </c>
      <c r="G59">
        <f>IF(GDP!G59=0,"",GDP!G59/('Capital Est'!G59^(1/3)*Pop!G59^(2/3)))</f>
        <v>7.0855302723815017E-2</v>
      </c>
      <c r="H59">
        <f>IF(GDP!H59=0,"",GDP!H59/('Capital Est'!H59^(1/3)*Pop!H59^(2/3)))</f>
        <v>6.2277590498243968E-2</v>
      </c>
      <c r="I59">
        <f>IF(GDP!I59=0,"",GDP!I59/('Capital Est'!I59^(1/3)*Pop!I59^(2/3)))</f>
        <v>1.5699433993714988</v>
      </c>
      <c r="J59">
        <f>IF(GDP!J59=0,"",GDP!J59/('Capital Est'!J59^(1/3)*Pop!J59^(2/3)))</f>
        <v>0.22169712497689764</v>
      </c>
      <c r="K59">
        <f>IF(GDP!K59=0,"",GDP!K59/('Capital Est'!K59^(1/3)*Pop!K59^(2/3)))</f>
        <v>4.4965992624718745E-2</v>
      </c>
      <c r="L59">
        <f>IF(GDP!L59=0,"",GDP!L59/('Capital Est'!L59^(1/3)*Pop!L59^(2/3)))</f>
        <v>0.10305798697758516</v>
      </c>
      <c r="N59" s="14">
        <f t="shared" si="11"/>
        <v>1.0184464998670475</v>
      </c>
      <c r="O59" s="14">
        <f t="shared" si="12"/>
        <v>1.0470360760303843</v>
      </c>
      <c r="P59" s="14">
        <f t="shared" si="13"/>
        <v>1.0177602668503465</v>
      </c>
      <c r="Q59" s="14">
        <f t="shared" si="14"/>
        <v>1.0549045872452305</v>
      </c>
      <c r="R59" s="14">
        <f t="shared" si="15"/>
        <v>1.038040564481626</v>
      </c>
      <c r="S59" s="14">
        <f t="shared" si="16"/>
        <v>1.060983741043382</v>
      </c>
      <c r="T59" s="14">
        <f t="shared" si="17"/>
        <v>1.0779608922850101</v>
      </c>
      <c r="U59" s="14">
        <f t="shared" si="18"/>
        <v>1.0446029168828141</v>
      </c>
      <c r="V59" s="14">
        <f t="shared" si="19"/>
        <v>1.0656649171694044</v>
      </c>
      <c r="W59" s="14">
        <f t="shared" si="20"/>
        <v>1.0305746827749762</v>
      </c>
      <c r="X59" s="14">
        <f t="shared" si="21"/>
        <v>1.0398032148200664</v>
      </c>
    </row>
    <row r="60" spans="1:24" x14ac:dyDescent="0.25">
      <c r="A60" s="2">
        <v>39448</v>
      </c>
      <c r="B60">
        <f>IF(GDP!B60=0,"",GDP!B60/('Capital Est'!B60^(1/3)*Pop!B60^(2/3)))</f>
        <v>0.12956828477332299</v>
      </c>
      <c r="C60">
        <f>IF(GDP!C60=0,"",GDP!C60/('Capital Est'!C60^(1/3)*Pop!C60^(2/3)))</f>
        <v>9.8746389087395123E-2</v>
      </c>
      <c r="D60">
        <f>IF(GDP!D60=0,"",GDP!D60/('Capital Est'!D60^(1/3)*Pop!D60^(2/3)))</f>
        <v>6.7090872255499784E-2</v>
      </c>
      <c r="E60">
        <f>IF(GDP!E60=0,"",GDP!E60/('Capital Est'!E60^(1/3)*Pop!E60^(2/3)))</f>
        <v>0.58851399153261952</v>
      </c>
      <c r="F60">
        <f>IF(GDP!F60=0,"",GDP!F60/('Capital Est'!F60^(1/3)*Pop!F60^(2/3)))</f>
        <v>6.5293859489985548E-2</v>
      </c>
      <c r="G60">
        <f>IF(GDP!G60=0,"",GDP!G60/('Capital Est'!G60^(1/3)*Pop!G60^(2/3)))</f>
        <v>6.9824829034784833E-2</v>
      </c>
      <c r="H60">
        <f>IF(GDP!H60=0,"",GDP!H60/('Capital Est'!H60^(1/3)*Pop!H60^(2/3)))</f>
        <v>6.0938200606716703E-2</v>
      </c>
      <c r="I60">
        <f>IF(GDP!I60=0,"",GDP!I60/('Capital Est'!I60^(1/3)*Pop!I60^(2/3)))</f>
        <v>1.5413274954686047</v>
      </c>
      <c r="J60">
        <f>IF(GDP!J60=0,"",GDP!J60/('Capital Est'!J60^(1/3)*Pop!J60^(2/3)))</f>
        <v>0.21911867483169792</v>
      </c>
      <c r="K60">
        <f>IF(GDP!K60=0,"",GDP!K60/('Capital Est'!K60^(1/3)*Pop!K60^(2/3)))</f>
        <v>4.41707356956616E-2</v>
      </c>
      <c r="L60">
        <f>IF(GDP!L60=0,"",GDP!L60/('Capital Est'!L60^(1/3)*Pop!L60^(2/3)))</f>
        <v>0.10151240992537811</v>
      </c>
      <c r="N60" s="14">
        <f t="shared" si="11"/>
        <v>1.0111258812088577</v>
      </c>
      <c r="O60" s="14">
        <f t="shared" si="12"/>
        <v>1.0358225785099464</v>
      </c>
      <c r="P60" s="14">
        <f t="shared" si="13"/>
        <v>1.0222637292455012</v>
      </c>
      <c r="Q60" s="14">
        <f t="shared" si="14"/>
        <v>1.0506188054721777</v>
      </c>
      <c r="R60" s="14">
        <f t="shared" si="15"/>
        <v>1.0288170040205431</v>
      </c>
      <c r="S60" s="14">
        <f t="shared" si="16"/>
        <v>1.0455534798264392</v>
      </c>
      <c r="T60" s="14">
        <f t="shared" si="17"/>
        <v>1.0547774339810323</v>
      </c>
      <c r="U60" s="14">
        <f t="shared" si="18"/>
        <v>1.0255625765124745</v>
      </c>
      <c r="V60" s="14">
        <f t="shared" si="19"/>
        <v>1.0532706930192444</v>
      </c>
      <c r="W60" s="14">
        <f t="shared" si="20"/>
        <v>1.0123482051738315</v>
      </c>
      <c r="X60" s="14">
        <f t="shared" si="21"/>
        <v>1.0242091203226982</v>
      </c>
    </row>
    <row r="61" spans="1:24" x14ac:dyDescent="0.25">
      <c r="A61" s="2">
        <v>39814</v>
      </c>
      <c r="B61">
        <f>IF(GDP!B61=0,"",GDP!B61/('Capital Est'!B61^(1/3)*Pop!B61^(2/3)))</f>
        <v>0.12830136227925737</v>
      </c>
      <c r="C61">
        <f>IF(GDP!C61=0,"",GDP!C61/('Capital Est'!C61^(1/3)*Pop!C61^(2/3)))</f>
        <v>9.4232623076944119E-2</v>
      </c>
      <c r="D61">
        <f>IF(GDP!D61=0,"",GDP!D61/('Capital Est'!D61^(1/3)*Pop!D61^(2/3)))</f>
        <v>6.3238569138767534E-2</v>
      </c>
      <c r="E61">
        <f>IF(GDP!E61=0,"",GDP!E61/('Capital Est'!E61^(1/3)*Pop!E61^(2/3)))</f>
        <v>0.56246783226123942</v>
      </c>
      <c r="F61">
        <f>IF(GDP!F61=0,"",GDP!F61/('Capital Est'!F61^(1/3)*Pop!F61^(2/3)))</f>
        <v>6.2826597609246304E-2</v>
      </c>
      <c r="G61">
        <f>IF(GDP!G61=0,"",GDP!G61/('Capital Est'!G61^(1/3)*Pop!G61^(2/3)))</f>
        <v>6.5983883851258321E-2</v>
      </c>
      <c r="H61">
        <f>IF(GDP!H61=0,"",GDP!H61/('Capital Est'!H61^(1/3)*Pop!H61^(2/3)))</f>
        <v>5.7267576156707807E-2</v>
      </c>
      <c r="I61">
        <f>IF(GDP!I61=0,"",GDP!I61/('Capital Est'!I61^(1/3)*Pop!I61^(2/3)))</f>
        <v>1.448514097794483</v>
      </c>
      <c r="J61">
        <f>IF(GDP!J61=0,"",GDP!J61/('Capital Est'!J61^(1/3)*Pop!J61^(2/3)))</f>
        <v>0.20185886527041069</v>
      </c>
      <c r="K61">
        <f>IF(GDP!K61=0,"",GDP!K61/('Capital Est'!K61^(1/3)*Pop!K61^(2/3)))</f>
        <v>4.1235648305169535E-2</v>
      </c>
      <c r="L61">
        <f>IF(GDP!L61=0,"",GDP!L61/('Capital Est'!L61^(1/3)*Pop!L61^(2/3)))</f>
        <v>9.7684489419990875E-2</v>
      </c>
      <c r="N61" s="14">
        <f t="shared" si="11"/>
        <v>1.0012390626446039</v>
      </c>
      <c r="O61" s="14">
        <f t="shared" si="12"/>
        <v>0.98847440921539209</v>
      </c>
      <c r="P61" s="14">
        <f t="shared" si="13"/>
        <v>0.96356618041504993</v>
      </c>
      <c r="Q61" s="14">
        <f t="shared" si="14"/>
        <v>1.0041210413840682</v>
      </c>
      <c r="R61" s="14">
        <f t="shared" si="15"/>
        <v>0.98994105157871271</v>
      </c>
      <c r="S61" s="14">
        <f t="shared" si="16"/>
        <v>0.98803935973517298</v>
      </c>
      <c r="T61" s="14">
        <f t="shared" si="17"/>
        <v>0.99124270863730957</v>
      </c>
      <c r="U61" s="14">
        <f t="shared" si="18"/>
        <v>0.96380675399364624</v>
      </c>
      <c r="V61" s="14">
        <f t="shared" si="19"/>
        <v>0.97030537026909347</v>
      </c>
      <c r="W61" s="14">
        <f t="shared" si="20"/>
        <v>0.94507899616029845</v>
      </c>
      <c r="X61" s="14">
        <f t="shared" si="21"/>
        <v>0.98558732919026515</v>
      </c>
    </row>
    <row r="62" spans="1:24" x14ac:dyDescent="0.25">
      <c r="A62" s="2">
        <v>40179</v>
      </c>
      <c r="B62">
        <f>IF(GDP!B62=0,"",GDP!B62/('Capital Est'!B62^(1/3)*Pop!B62^(2/3)))</f>
        <v>0.12814258558827199</v>
      </c>
      <c r="C62">
        <f>IF(GDP!C62=0,"",GDP!C62/('Capital Est'!C62^(1/3)*Pop!C62^(2/3)))</f>
        <v>9.5331373476569684E-2</v>
      </c>
      <c r="D62">
        <f>IF(GDP!D62=0,"",GDP!D62/('Capital Est'!D62^(1/3)*Pop!D62^(2/3)))</f>
        <v>6.5629710158079571E-2</v>
      </c>
      <c r="E62">
        <f>IF(GDP!E62=0,"",GDP!E62/('Capital Est'!E62^(1/3)*Pop!E62^(2/3)))</f>
        <v>0.56015939222420896</v>
      </c>
      <c r="F62">
        <f>IF(GDP!F62=0,"",GDP!F62/('Capital Est'!F62^(1/3)*Pop!F62^(2/3)))</f>
        <v>6.3464988656701651E-2</v>
      </c>
      <c r="G62">
        <f>IF(GDP!G62=0,"",GDP!G62/('Capital Est'!G62^(1/3)*Pop!G62^(2/3)))</f>
        <v>6.6782647068780912E-2</v>
      </c>
      <c r="H62">
        <f>IF(GDP!H62=0,"",GDP!H62/('Capital Est'!H62^(1/3)*Pop!H62^(2/3)))</f>
        <v>5.7773515666445834E-2</v>
      </c>
      <c r="I62">
        <f>IF(GDP!I62=0,"",GDP!I62/('Capital Est'!I62^(1/3)*Pop!I62^(2/3)))</f>
        <v>1.5029092624557725</v>
      </c>
      <c r="J62">
        <f>IF(GDP!J62=0,"",GDP!J62/('Capital Est'!J62^(1/3)*Pop!J62^(2/3)))</f>
        <v>0.20803643003071234</v>
      </c>
      <c r="K62">
        <f>IF(GDP!K62=0,"",GDP!K62/('Capital Est'!K62^(1/3)*Pop!K62^(2/3)))</f>
        <v>4.363195930996587E-2</v>
      </c>
      <c r="L62">
        <f>IF(GDP!L62=0,"",GDP!L62/('Capital Est'!L62^(1/3)*Pop!L62^(2/3)))</f>
        <v>9.9112972059255372E-2</v>
      </c>
      <c r="N62" s="14">
        <f>B62/B$62</f>
        <v>1</v>
      </c>
      <c r="O62" s="14">
        <f t="shared" si="12"/>
        <v>1</v>
      </c>
      <c r="P62" s="14">
        <f t="shared" si="13"/>
        <v>1</v>
      </c>
      <c r="Q62" s="14">
        <f t="shared" si="14"/>
        <v>1</v>
      </c>
      <c r="R62" s="14">
        <f t="shared" si="15"/>
        <v>1</v>
      </c>
      <c r="S62" s="14">
        <f t="shared" si="16"/>
        <v>1</v>
      </c>
      <c r="T62" s="14">
        <f t="shared" si="17"/>
        <v>1</v>
      </c>
      <c r="U62" s="14">
        <f t="shared" si="18"/>
        <v>1</v>
      </c>
      <c r="V62" s="14">
        <f t="shared" si="19"/>
        <v>1</v>
      </c>
      <c r="W62" s="14">
        <f t="shared" si="20"/>
        <v>1</v>
      </c>
      <c r="X62" s="14">
        <f t="shared" si="21"/>
        <v>1</v>
      </c>
    </row>
    <row r="63" spans="1:24" x14ac:dyDescent="0.25">
      <c r="A63" s="2">
        <v>40544</v>
      </c>
      <c r="B63">
        <f>IF(GDP!B63=0,"",GDP!B63/('Capital Est'!B63^(1/3)*Pop!B63^(2/3)))</f>
        <v>0.12824757268861536</v>
      </c>
      <c r="C63">
        <f>IF(GDP!C63=0,"",GDP!C63/('Capital Est'!C63^(1/3)*Pop!C63^(2/3)))</f>
        <v>9.6548029192930304E-2</v>
      </c>
      <c r="D63">
        <f>IF(GDP!D63=0,"",GDP!D63/('Capital Est'!D63^(1/3)*Pop!D63^(2/3)))</f>
        <v>6.8558137666964739E-2</v>
      </c>
      <c r="E63">
        <f>IF(GDP!E63=0,"",GDP!E63/('Capital Est'!E63^(1/3)*Pop!E63^(2/3)))</f>
        <v>0.55504500365918163</v>
      </c>
      <c r="F63">
        <f>IF(GDP!F63=0,"",GDP!F63/('Capital Est'!F63^(1/3)*Pop!F63^(2/3)))</f>
        <v>6.4387084945428927E-2</v>
      </c>
      <c r="G63">
        <f>IF(GDP!G63=0,"",GDP!G63/('Capital Est'!G63^(1/3)*Pop!G63^(2/3)))</f>
        <v>6.6885399675300439E-2</v>
      </c>
      <c r="H63">
        <f>IF(GDP!H63=0,"",GDP!H63/('Capital Est'!H63^(1/3)*Pop!H63^(2/3)))</f>
        <v>5.7885975068612379E-2</v>
      </c>
      <c r="I63">
        <f>IF(GDP!I63=0,"",GDP!I63/('Capital Est'!I63^(1/3)*Pop!I63^(2/3)))</f>
        <v>1.5000429919805891</v>
      </c>
      <c r="J63">
        <f>IF(GDP!J63=0,"",GDP!J63/('Capital Est'!J63^(1/3)*Pop!J63^(2/3)))</f>
        <v>0.21087647195937947</v>
      </c>
      <c r="K63">
        <f>IF(GDP!K63=0,"",GDP!K63/('Capital Est'!K63^(1/3)*Pop!K63^(2/3)))</f>
        <v>4.713246737463337E-2</v>
      </c>
      <c r="L63">
        <f>IF(GDP!L63=0,"",GDP!L63/('Capital Est'!L63^(1/3)*Pop!L63^(2/3)))</f>
        <v>9.9472849004879585E-2</v>
      </c>
      <c r="N63" s="14">
        <f t="shared" ref="N63:N75" si="22">B63/B$62</f>
        <v>1.000819299063316</v>
      </c>
      <c r="O63" s="14">
        <f t="shared" si="12"/>
        <v>1.0127623852672136</v>
      </c>
      <c r="P63" s="14">
        <f t="shared" si="13"/>
        <v>1.0446204546969899</v>
      </c>
      <c r="Q63" s="14">
        <f t="shared" si="14"/>
        <v>0.99086976200698917</v>
      </c>
      <c r="R63" s="14">
        <f t="shared" si="15"/>
        <v>1.0145292122199081</v>
      </c>
      <c r="S63" s="14">
        <f t="shared" si="16"/>
        <v>1.0015386123645817</v>
      </c>
      <c r="T63" s="14">
        <f t="shared" si="17"/>
        <v>1.0019465563220322</v>
      </c>
      <c r="U63" s="14">
        <f t="shared" si="18"/>
        <v>0.9980928519460317</v>
      </c>
      <c r="V63" s="14">
        <f t="shared" si="19"/>
        <v>1.0136516567230454</v>
      </c>
      <c r="W63" s="14">
        <f t="shared" si="20"/>
        <v>1.080228074100444</v>
      </c>
      <c r="X63" s="14">
        <f t="shared" si="21"/>
        <v>1.003630977238873</v>
      </c>
    </row>
    <row r="64" spans="1:24" x14ac:dyDescent="0.25">
      <c r="A64" s="2">
        <v>40909</v>
      </c>
      <c r="B64">
        <f>IF(GDP!B64=0,"",GDP!B64/('Capital Est'!B64^(1/3)*Pop!B64^(2/3)))</f>
        <v>0.12943494475413289</v>
      </c>
      <c r="C64">
        <f>IF(GDP!C64=0,"",GDP!C64/('Capital Est'!C64^(1/3)*Pop!C64^(2/3)))</f>
        <v>9.6371032417410643E-2</v>
      </c>
      <c r="D64">
        <f>IF(GDP!D64=0,"",GDP!D64/('Capital Est'!D64^(1/3)*Pop!D64^(2/3)))</f>
        <v>6.843726214344252E-2</v>
      </c>
      <c r="E64">
        <f>IF(GDP!E64=0,"",GDP!E64/('Capital Est'!E64^(1/3)*Pop!E64^(2/3)))</f>
        <v>0.53867112691414354</v>
      </c>
      <c r="F64">
        <f>IF(GDP!F64=0,"",GDP!F64/('Capital Est'!F64^(1/3)*Pop!F64^(2/3)))</f>
        <v>6.3911746994561952E-2</v>
      </c>
      <c r="G64">
        <f>IF(GDP!G64=0,"",GDP!G64/('Capital Est'!G64^(1/3)*Pop!G64^(2/3)))</f>
        <v>6.7268280900764088E-2</v>
      </c>
      <c r="H64">
        <f>IF(GDP!H64=0,"",GDP!H64/('Capital Est'!H64^(1/3)*Pop!H64^(2/3)))</f>
        <v>5.5865167727285572E-2</v>
      </c>
      <c r="I64">
        <f>IF(GDP!I64=0,"",GDP!I64/('Capital Est'!I64^(1/3)*Pop!I64^(2/3)))</f>
        <v>1.5167095884433708</v>
      </c>
      <c r="J64">
        <f>IF(GDP!J64=0,"",GDP!J64/('Capital Est'!J64^(1/3)*Pop!J64^(2/3)))</f>
        <v>0.21400339606707297</v>
      </c>
      <c r="K64">
        <f>IF(GDP!K64=0,"",GDP!K64/('Capital Est'!K64^(1/3)*Pop!K64^(2/3)))</f>
        <v>4.8083557309645954E-2</v>
      </c>
      <c r="L64">
        <f>IF(GDP!L64=0,"",GDP!L64/('Capital Est'!L64^(1/3)*Pop!L64^(2/3)))</f>
        <v>0.10044788231603591</v>
      </c>
      <c r="N64" s="14">
        <f t="shared" si="22"/>
        <v>1.0100853214403938</v>
      </c>
      <c r="O64" s="14">
        <f t="shared" si="12"/>
        <v>1.0109057375649422</v>
      </c>
      <c r="P64" s="14">
        <f t="shared" si="13"/>
        <v>1.0427786741492613</v>
      </c>
      <c r="Q64" s="14">
        <f t="shared" si="14"/>
        <v>0.96163901630794302</v>
      </c>
      <c r="R64" s="14">
        <f t="shared" si="15"/>
        <v>1.0070394456426508</v>
      </c>
      <c r="S64" s="14">
        <f t="shared" si="16"/>
        <v>1.0072718565869816</v>
      </c>
      <c r="T64" s="14">
        <f t="shared" si="17"/>
        <v>0.9669684644054195</v>
      </c>
      <c r="U64" s="14">
        <f t="shared" si="18"/>
        <v>1.0091824079685612</v>
      </c>
      <c r="V64" s="14">
        <f t="shared" si="19"/>
        <v>1.0286823131673608</v>
      </c>
      <c r="W64" s="14">
        <f t="shared" si="20"/>
        <v>1.1020260852384711</v>
      </c>
      <c r="X64" s="14">
        <f t="shared" si="21"/>
        <v>1.0134685725697181</v>
      </c>
    </row>
    <row r="65" spans="1:24" x14ac:dyDescent="0.25">
      <c r="A65" s="2">
        <v>41275</v>
      </c>
      <c r="B65">
        <f>IF(GDP!B65=0,"",GDP!B65/('Capital Est'!B65^(1/3)*Pop!B65^(2/3)))</f>
        <v>0.12875726634487725</v>
      </c>
      <c r="C65">
        <f>IF(GDP!C65=0,"",GDP!C65/('Capital Est'!C65^(1/3)*Pop!C65^(2/3)))</f>
        <v>9.6804108829089436E-2</v>
      </c>
      <c r="D65">
        <f>IF(GDP!D65=0,"",GDP!D65/('Capital Est'!D65^(1/3)*Pop!D65^(2/3)))</f>
        <v>6.8251683871648136E-2</v>
      </c>
      <c r="E65">
        <f>IF(GDP!E65=0,"",GDP!E65/('Capital Est'!E65^(1/3)*Pop!E65^(2/3)))</f>
        <v>0.53090029681278028</v>
      </c>
      <c r="F65">
        <f>IF(GDP!F65=0,"",GDP!F65/('Capital Est'!F65^(1/3)*Pop!F65^(2/3)))</f>
        <v>6.3833011070114895E-2</v>
      </c>
      <c r="G65">
        <f>IF(GDP!G65=0,"",GDP!G65/('Capital Est'!G65^(1/3)*Pop!G65^(2/3)))</f>
        <v>6.7829274513431986E-2</v>
      </c>
      <c r="H65">
        <f>IF(GDP!H65=0,"",GDP!H65/('Capital Est'!H65^(1/3)*Pop!H65^(2/3)))</f>
        <v>5.4379683561986206E-2</v>
      </c>
      <c r="I65">
        <f>IF(GDP!I65=0,"",GDP!I65/('Capital Est'!I65^(1/3)*Pop!I65^(2/3)))</f>
        <v>1.5421668108402347</v>
      </c>
      <c r="J65">
        <f>IF(GDP!J65=0,"",GDP!J65/('Capital Est'!J65^(1/3)*Pop!J65^(2/3)))</f>
        <v>0.21197760945656119</v>
      </c>
      <c r="K65">
        <f>IF(GDP!K65=0,"",GDP!K65/('Capital Est'!K65^(1/3)*Pop!K65^(2/3)))</f>
        <v>5.0656198855451841E-2</v>
      </c>
      <c r="L65">
        <f>IF(GDP!L65=0,"",GDP!L65/('Capital Est'!L65^(1/3)*Pop!L65^(2/3)))</f>
        <v>0.10125597409548127</v>
      </c>
      <c r="N65" s="14">
        <f t="shared" si="22"/>
        <v>1.0047968499604047</v>
      </c>
      <c r="O65" s="14">
        <f t="shared" si="12"/>
        <v>1.0154485905196962</v>
      </c>
      <c r="P65" s="14">
        <f t="shared" si="13"/>
        <v>1.0399510177212901</v>
      </c>
      <c r="Q65" s="14">
        <f t="shared" si="14"/>
        <v>0.94776648250911155</v>
      </c>
      <c r="R65" s="14">
        <f t="shared" si="15"/>
        <v>1.0057988257967549</v>
      </c>
      <c r="S65" s="14">
        <f t="shared" si="16"/>
        <v>1.0156721467415499</v>
      </c>
      <c r="T65" s="14">
        <f t="shared" si="17"/>
        <v>0.94125626482463265</v>
      </c>
      <c r="U65" s="14">
        <f t="shared" si="18"/>
        <v>1.0261210369548956</v>
      </c>
      <c r="V65" s="14">
        <f t="shared" si="19"/>
        <v>1.0189446599581959</v>
      </c>
      <c r="W65" s="14">
        <f t="shared" si="20"/>
        <v>1.160988405209701</v>
      </c>
      <c r="X65" s="14">
        <f t="shared" si="21"/>
        <v>1.0216218118748845</v>
      </c>
    </row>
    <row r="66" spans="1:24" x14ac:dyDescent="0.25">
      <c r="A66" s="2">
        <v>41640</v>
      </c>
      <c r="B66">
        <f>IF(GDP!B66=0,"",GDP!B66/('Capital Est'!B66^(1/3)*Pop!B66^(2/3)))</f>
        <v>0.12897770637922501</v>
      </c>
      <c r="C66">
        <f>IF(GDP!C66=0,"",GDP!C66/('Capital Est'!C66^(1/3)*Pop!C66^(2/3)))</f>
        <v>9.7822130498607454E-2</v>
      </c>
      <c r="D66">
        <f>IF(GDP!D66=0,"",GDP!D66/('Capital Est'!D66^(1/3)*Pop!D66^(2/3)))</f>
        <v>6.9182998750814323E-2</v>
      </c>
      <c r="E66">
        <f>IF(GDP!E66=0,"",GDP!E66/('Capital Est'!E66^(1/3)*Pop!E66^(2/3)))</f>
        <v>0.53824937150322927</v>
      </c>
      <c r="F66">
        <f>IF(GDP!F66=0,"",GDP!F66/('Capital Est'!F66^(1/3)*Pop!F66^(2/3)))</f>
        <v>6.3936064038577406E-2</v>
      </c>
      <c r="G66">
        <f>IF(GDP!G66=0,"",GDP!G66/('Capital Est'!G66^(1/3)*Pop!G66^(2/3)))</f>
        <v>6.9238971095736984E-2</v>
      </c>
      <c r="H66">
        <f>IF(GDP!H66=0,"",GDP!H66/('Capital Est'!H66^(1/3)*Pop!H66^(2/3)))</f>
        <v>5.401858322545558E-2</v>
      </c>
      <c r="I66">
        <f>IF(GDP!I66=0,"",GDP!I66/('Capital Est'!I66^(1/3)*Pop!I66^(2/3)))</f>
        <v>1.5414086781248717</v>
      </c>
      <c r="J66">
        <f>IF(GDP!J66=0,"",GDP!J66/('Capital Est'!J66^(1/3)*Pop!J66^(2/3)))</f>
        <v>0.21353597147437101</v>
      </c>
      <c r="K66">
        <f>IF(GDP!K66=0,"",GDP!K66/('Capital Est'!K66^(1/3)*Pop!K66^(2/3)))</f>
        <v>5.1623870475535599E-2</v>
      </c>
      <c r="L66">
        <f>IF(GDP!L66=0,"",GDP!L66/('Capital Est'!L66^(1/3)*Pop!L66^(2/3)))</f>
        <v>0.10237748513635968</v>
      </c>
      <c r="N66" s="14">
        <f t="shared" si="22"/>
        <v>1.0065171214324979</v>
      </c>
      <c r="O66" s="14">
        <f t="shared" si="12"/>
        <v>1.0261273590341162</v>
      </c>
      <c r="P66" s="14">
        <f t="shared" si="13"/>
        <v>1.0541414640438924</v>
      </c>
      <c r="Q66" s="14">
        <f t="shared" si="14"/>
        <v>0.96088609594854391</v>
      </c>
      <c r="R66" s="14">
        <f t="shared" si="15"/>
        <v>1.0074226024749475</v>
      </c>
      <c r="S66" s="14">
        <f t="shared" si="16"/>
        <v>1.0367808724986036</v>
      </c>
      <c r="T66" s="14">
        <f t="shared" si="17"/>
        <v>0.93500599024180431</v>
      </c>
      <c r="U66" s="14">
        <f t="shared" si="18"/>
        <v>1.0256165935168904</v>
      </c>
      <c r="V66" s="14">
        <f t="shared" si="19"/>
        <v>1.0264354730700136</v>
      </c>
      <c r="W66" s="14">
        <f t="shared" si="20"/>
        <v>1.1831664516551819</v>
      </c>
      <c r="X66" s="14">
        <f t="shared" si="21"/>
        <v>1.0329372937697054</v>
      </c>
    </row>
    <row r="67" spans="1:24" x14ac:dyDescent="0.25">
      <c r="A67" s="2">
        <v>42005</v>
      </c>
      <c r="B67">
        <f>IF(GDP!B67=0,"",GDP!B67/('Capital Est'!B67^(1/3)*Pop!B67^(2/3)))</f>
        <v>0.12922649410189002</v>
      </c>
      <c r="C67">
        <f>IF(GDP!C67=0,"",GDP!C67/('Capital Est'!C67^(1/3)*Pop!C67^(2/3)))</f>
        <v>9.7063733488424897E-2</v>
      </c>
      <c r="D67">
        <f>IF(GDP!D67=0,"",GDP!D67/('Capital Est'!D67^(1/3)*Pop!D67^(2/3)))</f>
        <v>6.9561285990138361E-2</v>
      </c>
      <c r="E67">
        <f>IF(GDP!E67=0,"",GDP!E67/('Capital Est'!E67^(1/3)*Pop!E67^(2/3)))</f>
        <v>0.55773909514697351</v>
      </c>
      <c r="F67">
        <f>IF(GDP!F67=0,"",GDP!F67/('Capital Est'!F67^(1/3)*Pop!F67^(2/3)))</f>
        <v>6.4142128595556944E-2</v>
      </c>
      <c r="G67">
        <f>IF(GDP!G67=0,"",GDP!G67/('Capital Est'!G67^(1/3)*Pop!G67^(2/3)))</f>
        <v>6.991411199605839E-2</v>
      </c>
      <c r="H67">
        <f>IF(GDP!H67=0,"",GDP!H67/('Capital Est'!H67^(1/3)*Pop!H67^(2/3)))</f>
        <v>5.4489557748312455E-2</v>
      </c>
      <c r="I67">
        <f>IF(GDP!I67=0,"",GDP!I67/('Capital Est'!I67^(1/3)*Pop!I67^(2/3)))</f>
        <v>1.5595365805780197</v>
      </c>
      <c r="J67">
        <f>IF(GDP!J67=0,"",GDP!J67/('Capital Est'!J67^(1/3)*Pop!J67^(2/3)))</f>
        <v>0.21555247044606951</v>
      </c>
      <c r="K67">
        <f>IF(GDP!K67=0,"",GDP!K67/('Capital Est'!K67^(1/3)*Pop!K67^(2/3)))</f>
        <v>5.3140911055649172E-2</v>
      </c>
      <c r="L67">
        <f>IF(GDP!L67=0,"",GDP!L67/('Capital Est'!L67^(1/3)*Pop!L67^(2/3)))</f>
        <v>0.10389856470277774</v>
      </c>
      <c r="N67" s="14">
        <f t="shared" si="22"/>
        <v>1.0084586127916966</v>
      </c>
      <c r="O67" s="14">
        <f t="shared" si="12"/>
        <v>1.0181719820944464</v>
      </c>
      <c r="P67" s="14">
        <f t="shared" si="13"/>
        <v>1.0599054273223052</v>
      </c>
      <c r="Q67" s="14">
        <f t="shared" si="14"/>
        <v>0.99567927073823537</v>
      </c>
      <c r="R67" s="14">
        <f t="shared" si="15"/>
        <v>1.0106695038191547</v>
      </c>
      <c r="S67" s="14">
        <f t="shared" si="16"/>
        <v>1.0468903984002358</v>
      </c>
      <c r="T67" s="14">
        <f t="shared" si="17"/>
        <v>0.94315807372545513</v>
      </c>
      <c r="U67" s="14">
        <f t="shared" si="18"/>
        <v>1.0376784677138242</v>
      </c>
      <c r="V67" s="14">
        <f t="shared" si="19"/>
        <v>1.0361284819886958</v>
      </c>
      <c r="W67" s="14">
        <f t="shared" si="20"/>
        <v>1.2179354742731294</v>
      </c>
      <c r="X67" s="14">
        <f t="shared" si="21"/>
        <v>1.0482842209661645</v>
      </c>
    </row>
    <row r="68" spans="1:24" x14ac:dyDescent="0.25">
      <c r="A68" s="2">
        <v>42370</v>
      </c>
      <c r="B68">
        <f>IF(GDP!B68=0,"",GDP!B68/('Capital Est'!B68^(1/3)*Pop!B68^(2/3)))</f>
        <v>0.13002952420303526</v>
      </c>
      <c r="C68">
        <f>IF(GDP!C68=0,"",GDP!C68/('Capital Est'!C68^(1/3)*Pop!C68^(2/3)))</f>
        <v>9.6598588800856477E-2</v>
      </c>
      <c r="D68">
        <f>IF(GDP!D68=0,"",GDP!D68/('Capital Est'!D68^(1/3)*Pop!D68^(2/3)))</f>
        <v>7.038260685312854E-2</v>
      </c>
      <c r="E68">
        <f>IF(GDP!E68=0,"",GDP!E68/('Capital Est'!E68^(1/3)*Pop!E68^(2/3)))</f>
        <v>0.57162534544369226</v>
      </c>
      <c r="F68">
        <f>IF(GDP!F68=0,"",GDP!F68/('Capital Est'!F68^(1/3)*Pop!F68^(2/3)))</f>
        <v>6.4242284966209692E-2</v>
      </c>
      <c r="G68">
        <f>IF(GDP!G68=0,"",GDP!G68/('Capital Est'!G68^(1/3)*Pop!G68^(2/3)))</f>
        <v>7.0363789200384247E-2</v>
      </c>
      <c r="H68">
        <f>IF(GDP!H68=0,"",GDP!H68/('Capital Est'!H68^(1/3)*Pop!H68^(2/3)))</f>
        <v>5.5154683326200001E-2</v>
      </c>
      <c r="I68">
        <f>IF(GDP!I68=0,"",GDP!I68/('Capital Est'!I68^(1/3)*Pop!I68^(2/3)))</f>
        <v>1.5648236412973457</v>
      </c>
      <c r="J68">
        <f>IF(GDP!J68=0,"",GDP!J68/('Capital Est'!J68^(1/3)*Pop!J68^(2/3)))</f>
        <v>0.21577546775960521</v>
      </c>
      <c r="K68">
        <f>IF(GDP!K68=0,"",GDP!K68/('Capital Est'!K68^(1/3)*Pop!K68^(2/3)))</f>
        <v>5.3346932759215857E-2</v>
      </c>
      <c r="L68">
        <f>IF(GDP!L68=0,"",GDP!L68/('Capital Est'!L68^(1/3)*Pop!L68^(2/3)))</f>
        <v>0.10429571636383404</v>
      </c>
      <c r="N68" s="14">
        <f t="shared" si="22"/>
        <v>1.0147253046760434</v>
      </c>
      <c r="O68" s="14">
        <f t="shared" si="12"/>
        <v>1.0132927417079358</v>
      </c>
      <c r="P68" s="14">
        <f t="shared" si="13"/>
        <v>1.0724198946422414</v>
      </c>
      <c r="Q68" s="14">
        <f t="shared" si="14"/>
        <v>1.020469090367218</v>
      </c>
      <c r="R68" s="14">
        <f t="shared" si="15"/>
        <v>1.0122476396192652</v>
      </c>
      <c r="S68" s="14">
        <f t="shared" si="16"/>
        <v>1.0536238422522402</v>
      </c>
      <c r="T68" s="14">
        <f t="shared" si="17"/>
        <v>0.95467071182987018</v>
      </c>
      <c r="U68" s="14">
        <f t="shared" si="18"/>
        <v>1.0411963518944614</v>
      </c>
      <c r="V68" s="14">
        <f t="shared" si="19"/>
        <v>1.0372003967177785</v>
      </c>
      <c r="W68" s="14">
        <f t="shared" si="20"/>
        <v>1.2226572815635857</v>
      </c>
      <c r="X68" s="14">
        <f t="shared" si="21"/>
        <v>1.0522912813216834</v>
      </c>
    </row>
    <row r="69" spans="1:24" x14ac:dyDescent="0.25">
      <c r="A69" s="2">
        <v>42736</v>
      </c>
      <c r="B69">
        <f>IF(GDP!B69=0,"",GDP!B69/('Capital Est'!B69^(1/3)*Pop!B69^(2/3)))</f>
        <v>0.13043694888988519</v>
      </c>
      <c r="C69">
        <f>IF(GDP!C69=0,"",GDP!C69/('Capital Est'!C69^(1/3)*Pop!C69^(2/3)))</f>
        <v>9.7971921716305352E-2</v>
      </c>
      <c r="D69">
        <f>IF(GDP!D69=0,"",GDP!D69/('Capital Est'!D69^(1/3)*Pop!D69^(2/3)))</f>
        <v>7.1701287532606517E-2</v>
      </c>
      <c r="E69">
        <f>IF(GDP!E69=0,"",GDP!E69/('Capital Est'!E69^(1/3)*Pop!E69^(2/3)))</f>
        <v>0.58484059492579776</v>
      </c>
      <c r="F69">
        <f>IF(GDP!F69=0,"",GDP!F69/('Capital Est'!F69^(1/3)*Pop!F69^(2/3)))</f>
        <v>6.5086939010756961E-2</v>
      </c>
      <c r="G69">
        <f>IF(GDP!G69=0,"",GDP!G69/('Capital Est'!G69^(1/3)*Pop!G69^(2/3)))</f>
        <v>7.1346430102263214E-2</v>
      </c>
      <c r="H69">
        <f>IF(GDP!H69=0,"",GDP!H69/('Capital Est'!H69^(1/3)*Pop!H69^(2/3)))</f>
        <v>5.5999768948871036E-2</v>
      </c>
      <c r="I69">
        <f>IF(GDP!I69=0,"",GDP!I69/('Capital Est'!I69^(1/3)*Pop!I69^(2/3)))</f>
        <v>1.5847414895720844</v>
      </c>
      <c r="J69">
        <f>IF(GDP!J69=0,"",GDP!J69/('Capital Est'!J69^(1/3)*Pop!J69^(2/3)))</f>
        <v>0.21643626969159616</v>
      </c>
      <c r="K69">
        <f>IF(GDP!K69=0,"",GDP!K69/('Capital Est'!K69^(1/3)*Pop!K69^(2/3)))</f>
        <v>5.5702393241082296E-2</v>
      </c>
      <c r="L69">
        <f>IF(GDP!L69=0,"",GDP!L69/('Capital Est'!L69^(1/3)*Pop!L69^(2/3)))</f>
        <v>0.10538297446518773</v>
      </c>
      <c r="N69" s="14">
        <f t="shared" si="22"/>
        <v>1.0179047682788693</v>
      </c>
      <c r="O69" s="14">
        <f t="shared" si="12"/>
        <v>1.0276986278854428</v>
      </c>
      <c r="P69" s="14">
        <f t="shared" si="13"/>
        <v>1.0925126342917344</v>
      </c>
      <c r="Q69" s="14">
        <f t="shared" si="14"/>
        <v>1.04406103520569</v>
      </c>
      <c r="R69" s="14">
        <f t="shared" si="15"/>
        <v>1.0255566161498721</v>
      </c>
      <c r="S69" s="14">
        <f t="shared" si="16"/>
        <v>1.0683378577189664</v>
      </c>
      <c r="T69" s="14">
        <f t="shared" si="17"/>
        <v>0.96929827279656156</v>
      </c>
      <c r="U69" s="14">
        <f t="shared" si="18"/>
        <v>1.0544492133760603</v>
      </c>
      <c r="V69" s="14">
        <f t="shared" si="19"/>
        <v>1.0403767727587123</v>
      </c>
      <c r="W69" s="14">
        <f t="shared" si="20"/>
        <v>1.2766420330878758</v>
      </c>
      <c r="X69" s="14">
        <f t="shared" si="21"/>
        <v>1.0632611682977662</v>
      </c>
    </row>
    <row r="70" spans="1:24" x14ac:dyDescent="0.25">
      <c r="A70" s="2">
        <v>43101</v>
      </c>
      <c r="B70">
        <f>IF(GDP!B70=0,"",GDP!B70/('Capital Est'!B70^(1/3)*Pop!B70^(2/3)))</f>
        <v>0.13152194011780161</v>
      </c>
      <c r="C70">
        <f>IF(GDP!C70=0,"",GDP!C70/('Capital Est'!C70^(1/3)*Pop!C70^(2/3)))</f>
        <v>9.892740195248835E-2</v>
      </c>
      <c r="D70">
        <f>IF(GDP!D70=0,"",GDP!D70/('Capital Est'!D70^(1/3)*Pop!D70^(2/3)))</f>
        <v>7.191737773162496E-2</v>
      </c>
      <c r="E70">
        <f>IF(GDP!E70=0,"",GDP!E70/('Capital Est'!E70^(1/3)*Pop!E70^(2/3)))</f>
        <v>0.59402246350357124</v>
      </c>
      <c r="F70">
        <f>IF(GDP!F70=0,"",GDP!F70/('Capital Est'!F70^(1/3)*Pop!F70^(2/3)))</f>
        <v>6.5608369893748797E-2</v>
      </c>
      <c r="G70">
        <f>IF(GDP!G70=0,"",GDP!G70/('Capital Est'!G70^(1/3)*Pop!G70^(2/3)))</f>
        <v>7.1537303821223169E-2</v>
      </c>
      <c r="H70">
        <f>IF(GDP!H70=0,"",GDP!H70/('Capital Est'!H70^(1/3)*Pop!H70^(2/3)))</f>
        <v>5.6414844399711138E-2</v>
      </c>
      <c r="I70">
        <f>IF(GDP!I70=0,"",GDP!I70/('Capital Est'!I70^(1/3)*Pop!I70^(2/3)))</f>
        <v>1.5893128567194279</v>
      </c>
      <c r="J70">
        <f>IF(GDP!J70=0,"",GDP!J70/('Capital Est'!J70^(1/3)*Pop!J70^(2/3)))</f>
        <v>0.21758435721498393</v>
      </c>
      <c r="K70">
        <f>IF(GDP!K70=0,"",GDP!K70/('Capital Est'!K70^(1/3)*Pop!K70^(2/3)))</f>
        <v>5.5817756537676927E-2</v>
      </c>
      <c r="L70">
        <f>IF(GDP!L70=0,"",GDP!L70/('Capital Est'!L70^(1/3)*Pop!L70^(2/3)))</f>
        <v>0.10703768775340601</v>
      </c>
      <c r="N70" s="14">
        <f t="shared" si="22"/>
        <v>1.0263718303639326</v>
      </c>
      <c r="O70" s="14">
        <f t="shared" si="12"/>
        <v>1.0377213538919849</v>
      </c>
      <c r="P70" s="14">
        <f t="shared" si="13"/>
        <v>1.0958052010042485</v>
      </c>
      <c r="Q70" s="14">
        <f t="shared" si="14"/>
        <v>1.0604525635907007</v>
      </c>
      <c r="R70" s="14">
        <f t="shared" si="15"/>
        <v>1.0337726561118799</v>
      </c>
      <c r="S70" s="14">
        <f t="shared" si="16"/>
        <v>1.0711959911913245</v>
      </c>
      <c r="T70" s="14">
        <f t="shared" si="17"/>
        <v>0.97648280096750639</v>
      </c>
      <c r="U70" s="14">
        <f t="shared" si="18"/>
        <v>1.0574908921131212</v>
      </c>
      <c r="V70" s="14">
        <f t="shared" si="19"/>
        <v>1.0458954577468091</v>
      </c>
      <c r="W70" s="14">
        <f t="shared" si="20"/>
        <v>1.2792860421678962</v>
      </c>
      <c r="X70" s="14">
        <f t="shared" si="21"/>
        <v>1.0799563924832443</v>
      </c>
    </row>
    <row r="71" spans="1:24" x14ac:dyDescent="0.25">
      <c r="A71" s="2">
        <v>43466</v>
      </c>
      <c r="B71">
        <f>IF(GDP!B71=0,"",GDP!B71/('Capital Est'!B71^(1/3)*Pop!B71^(2/3)))</f>
        <v>0.13140544370116206</v>
      </c>
      <c r="C71">
        <f>IF(GDP!C71=0,"",GDP!C71/('Capital Est'!C71^(1/3)*Pop!C71^(2/3)))</f>
        <v>9.9093951410831466E-2</v>
      </c>
      <c r="D71">
        <f>IF(GDP!D71=0,"",GDP!D71/('Capital Est'!D71^(1/3)*Pop!D71^(2/3)))</f>
        <v>7.2075931156516601E-2</v>
      </c>
      <c r="E71">
        <f>IF(GDP!E71=0,"",GDP!E71/('Capital Est'!E71^(1/3)*Pop!E71^(2/3)))</f>
        <v>0.60034657584876339</v>
      </c>
      <c r="F71">
        <f>IF(GDP!F71=0,"",GDP!F71/('Capital Est'!F71^(1/3)*Pop!F71^(2/3)))</f>
        <v>6.6361230934087398E-2</v>
      </c>
      <c r="G71">
        <f>IF(GDP!G71=0,"",GDP!G71/('Capital Est'!G71^(1/3)*Pop!G71^(2/3)))</f>
        <v>7.1917438406488579E-2</v>
      </c>
      <c r="H71">
        <f>IF(GDP!H71=0,"",GDP!H71/('Capital Est'!H71^(1/3)*Pop!H71^(2/3)))</f>
        <v>5.696533682162571E-2</v>
      </c>
      <c r="I71">
        <f>IF(GDP!I71=0,"",GDP!I71/('Capital Est'!I71^(1/3)*Pop!I71^(2/3)))</f>
        <v>1.5776922720393292</v>
      </c>
      <c r="J71">
        <f>IF(GDP!J71=0,"",GDP!J71/('Capital Est'!J71^(1/3)*Pop!J71^(2/3)))</f>
        <v>0.21409377937290366</v>
      </c>
      <c r="K71">
        <f>IF(GDP!K71=0,"",GDP!K71/('Capital Est'!K71^(1/3)*Pop!K71^(2/3)))</f>
        <v>5.5006255445255794E-2</v>
      </c>
      <c r="L71">
        <f>IF(GDP!L71=0,"",GDP!L71/('Capital Est'!L71^(1/3)*Pop!L71^(2/3)))</f>
        <v>0.10836957206405386</v>
      </c>
      <c r="N71" s="14">
        <f t="shared" si="22"/>
        <v>1.025462714818115</v>
      </c>
      <c r="O71" s="14">
        <f t="shared" si="12"/>
        <v>1.0394684120982116</v>
      </c>
      <c r="P71" s="14">
        <f t="shared" si="13"/>
        <v>1.098221079796182</v>
      </c>
      <c r="Q71" s="14">
        <f t="shared" si="14"/>
        <v>1.0717424079331854</v>
      </c>
      <c r="R71" s="14">
        <f t="shared" si="15"/>
        <v>1.0456352760583045</v>
      </c>
      <c r="S71" s="14">
        <f t="shared" si="16"/>
        <v>1.0768881073614711</v>
      </c>
      <c r="T71" s="14">
        <f t="shared" si="17"/>
        <v>0.98601125731232753</v>
      </c>
      <c r="U71" s="14">
        <f t="shared" si="18"/>
        <v>1.0497588320544118</v>
      </c>
      <c r="V71" s="14">
        <f t="shared" si="19"/>
        <v>1.0291167721984897</v>
      </c>
      <c r="W71" s="14">
        <f t="shared" si="20"/>
        <v>1.2606872649125327</v>
      </c>
      <c r="X71" s="14">
        <f t="shared" si="21"/>
        <v>1.0933944347795803</v>
      </c>
    </row>
    <row r="72" spans="1:24" x14ac:dyDescent="0.25">
      <c r="A72" s="2">
        <v>43831</v>
      </c>
      <c r="B72">
        <f>IF(GDP!B72=0,"",GDP!B72/('Capital Est'!B72^(1/3)*Pop!B72^(2/3)))</f>
        <v>0.12654635396357578</v>
      </c>
      <c r="C72">
        <f>IF(GDP!C72=0,"",GDP!C72/('Capital Est'!C72^(1/3)*Pop!C72^(2/3)))</f>
        <v>9.2839623026445467E-2</v>
      </c>
      <c r="D72">
        <f>IF(GDP!D72=0,"",GDP!D72/('Capital Est'!D72^(1/3)*Pop!D72^(2/3)))</f>
        <v>6.8727133955613348E-2</v>
      </c>
      <c r="E72">
        <f>IF(GDP!E72=0,"",GDP!E72/('Capital Est'!E72^(1/3)*Pop!E72^(2/3)))</f>
        <v>0.53168117485702282</v>
      </c>
      <c r="F72">
        <f>IF(GDP!F72=0,"",GDP!F72/('Capital Est'!F72^(1/3)*Pop!F72^(2/3)))</f>
        <v>6.1012518136191345E-2</v>
      </c>
      <c r="G72">
        <f>IF(GDP!G72=0,"",GDP!G72/('Capital Est'!G72^(1/3)*Pop!G72^(2/3)))</f>
        <v>6.4011400751023753E-2</v>
      </c>
      <c r="H72">
        <f>IF(GDP!H72=0,"",GDP!H72/('Capital Est'!H72^(1/3)*Pop!H72^(2/3)))</f>
        <v>5.2027292371486747E-2</v>
      </c>
      <c r="I72">
        <f>IF(GDP!I72=0,"",GDP!I72/('Capital Est'!I72^(1/3)*Pop!I72^(2/3)))</f>
        <v>1.5097646271823759</v>
      </c>
      <c r="J72">
        <f>IF(GDP!J72=0,"",GDP!J72/('Capital Est'!J72^(1/3)*Pop!J72^(2/3)))</f>
        <v>0.19470940466444653</v>
      </c>
      <c r="K72">
        <f>IF(GDP!K72=0,"",GDP!K72/('Capital Est'!K72^(1/3)*Pop!K72^(2/3)))</f>
        <v>5.4889919706101943E-2</v>
      </c>
      <c r="L72">
        <f>IF(GDP!L72=0,"",GDP!L72/('Capital Est'!L72^(1/3)*Pop!L72^(2/3)))</f>
        <v>0.10437368918698907</v>
      </c>
      <c r="N72" s="14">
        <f t="shared" si="22"/>
        <v>0.98754331655344474</v>
      </c>
      <c r="O72" s="14">
        <f t="shared" si="12"/>
        <v>0.97386222017732038</v>
      </c>
      <c r="P72" s="14">
        <f t="shared" si="13"/>
        <v>1.0471954514209059</v>
      </c>
      <c r="Q72" s="14">
        <f t="shared" si="14"/>
        <v>0.94916051080727493</v>
      </c>
      <c r="R72" s="14">
        <f t="shared" si="15"/>
        <v>0.96135711086664888</v>
      </c>
      <c r="S72" s="14">
        <f t="shared" si="16"/>
        <v>0.95850349695029324</v>
      </c>
      <c r="T72" s="14">
        <f t="shared" si="17"/>
        <v>0.90053879829410444</v>
      </c>
      <c r="U72" s="14">
        <f t="shared" si="18"/>
        <v>1.0045613962850968</v>
      </c>
      <c r="V72" s="14">
        <f t="shared" si="19"/>
        <v>0.93593898258925923</v>
      </c>
      <c r="W72" s="14">
        <f t="shared" si="20"/>
        <v>1.2580209684410086</v>
      </c>
      <c r="X72" s="14">
        <f t="shared" si="21"/>
        <v>1.0530779878600405</v>
      </c>
    </row>
    <row r="73" spans="1:24" x14ac:dyDescent="0.25">
      <c r="A73" s="2">
        <v>44197</v>
      </c>
      <c r="B73">
        <f>IF(GDP!B73=0,"",GDP!B73/('Capital Est'!B73^(1/3)*Pop!B73^(2/3)))</f>
        <v>0.13211133743254455</v>
      </c>
      <c r="C73">
        <f>IF(GDP!C73=0,"",GDP!C73/('Capital Est'!C73^(1/3)*Pop!C73^(2/3)))</f>
        <v>9.6643748311121935E-2</v>
      </c>
      <c r="D73">
        <f>IF(GDP!D73=0,"",GDP!D73/('Capital Est'!D73^(1/3)*Pop!D73^(2/3)))</f>
        <v>7.0870590744096781E-2</v>
      </c>
      <c r="E73">
        <f>IF(GDP!E73=0,"",GDP!E73/('Capital Est'!E73^(1/3)*Pop!E73^(2/3)))</f>
        <v>0.56425956654707654</v>
      </c>
      <c r="F73">
        <f>IF(GDP!F73=0,"",GDP!F73/('Capital Est'!F73^(1/3)*Pop!F73^(2/3)))</f>
        <v>6.4674572642514833E-2</v>
      </c>
      <c r="G73">
        <f>IF(GDP!G73=0,"",GDP!G73/('Capital Est'!G73^(1/3)*Pop!G73^(2/3)))</f>
        <v>6.9206172692635654E-2</v>
      </c>
      <c r="H73">
        <f>IF(GDP!H73=0,"",GDP!H73/('Capital Est'!H73^(1/3)*Pop!H73^(2/3)))</f>
        <v>5.6637462706037686E-2</v>
      </c>
      <c r="I73">
        <f>IF(GDP!I73=0,"",GDP!I73/('Capital Est'!I73^(1/3)*Pop!I73^(2/3)))</f>
        <v>1.5502799797352076</v>
      </c>
      <c r="J73">
        <f>IF(GDP!J73=0,"",GDP!J73/('Capital Est'!J73^(1/3)*Pop!J73^(2/3)))</f>
        <v>0.20482504661731918</v>
      </c>
      <c r="K73">
        <f>IF(GDP!K73=0,"",GDP!K73/('Capital Est'!K73^(1/3)*Pop!K73^(2/3)))</f>
        <v>5.9904597446946185E-2</v>
      </c>
      <c r="L73">
        <f>IF(GDP!L73=0,"",GDP!L73/('Capital Est'!L73^(1/3)*Pop!L73^(2/3)))</f>
        <v>0.10949861973203139</v>
      </c>
      <c r="N73" s="14">
        <f t="shared" si="22"/>
        <v>1.0309713732250132</v>
      </c>
      <c r="O73" s="14">
        <f t="shared" si="12"/>
        <v>1.0137664526030856</v>
      </c>
      <c r="P73" s="14">
        <f t="shared" si="13"/>
        <v>1.0798553059794676</v>
      </c>
      <c r="Q73" s="14">
        <f t="shared" si="14"/>
        <v>1.0073196564759668</v>
      </c>
      <c r="R73" s="14">
        <f t="shared" si="15"/>
        <v>1.0190590751123605</v>
      </c>
      <c r="S73" s="14">
        <f t="shared" si="16"/>
        <v>1.0362897508593618</v>
      </c>
      <c r="T73" s="14">
        <f t="shared" si="17"/>
        <v>0.98033609436256008</v>
      </c>
      <c r="U73" s="14">
        <f t="shared" si="18"/>
        <v>1.031519346152695</v>
      </c>
      <c r="V73" s="14">
        <f t="shared" si="19"/>
        <v>0.98456336030704306</v>
      </c>
      <c r="W73" s="14">
        <f t="shared" si="20"/>
        <v>1.3729522669696734</v>
      </c>
      <c r="X73" s="14">
        <f t="shared" si="21"/>
        <v>1.1047859574483034</v>
      </c>
    </row>
    <row r="74" spans="1:24" x14ac:dyDescent="0.25">
      <c r="A74" s="2">
        <v>44562</v>
      </c>
      <c r="B74">
        <f>IF(GDP!B74=0,"",GDP!B74/('Capital Est'!B74^(1/3)*Pop!B74^(2/3)))</f>
        <v>0.13485646032841872</v>
      </c>
      <c r="C74">
        <f>IF(GDP!C74=0,"",GDP!C74/('Capital Est'!C74^(1/3)*Pop!C74^(2/3)))</f>
        <v>9.8466314936980062E-2</v>
      </c>
      <c r="D74">
        <f>IF(GDP!D74=0,"",GDP!D74/('Capital Est'!D74^(1/3)*Pop!D74^(2/3)))</f>
        <v>7.1158766214282645E-2</v>
      </c>
      <c r="E74">
        <f>IF(GDP!E74=0,"",GDP!E74/('Capital Est'!E74^(1/3)*Pop!E74^(2/3)))</f>
        <v>0.59094239847884877</v>
      </c>
      <c r="F74">
        <f>IF(GDP!F74=0,"",GDP!F74/('Capital Est'!F74^(1/3)*Pop!F74^(2/3)))</f>
        <v>6.5807135240872616E-2</v>
      </c>
      <c r="G74">
        <f>IF(GDP!G74=0,"",GDP!G74/('Capital Est'!G74^(1/3)*Pop!G74^(2/3)))</f>
        <v>7.1178786028634061E-2</v>
      </c>
      <c r="H74">
        <f>IF(GDP!H74=0,"",GDP!H74/('Capital Est'!H74^(1/3)*Pop!H74^(2/3)))</f>
        <v>5.9101696244787262E-2</v>
      </c>
      <c r="I74">
        <f>IF(GDP!I74=0,"",GDP!I74/('Capital Est'!I74^(1/3)*Pop!I74^(2/3)))</f>
        <v>1.5680997329354123</v>
      </c>
      <c r="J74">
        <f>IF(GDP!J74=0,"",GDP!J74/('Capital Est'!J74^(1/3)*Pop!J74^(2/3)))</f>
        <v>0.21035125046723321</v>
      </c>
      <c r="K74">
        <f>IF(GDP!K74=0,"",GDP!K74/('Capital Est'!K74^(1/3)*Pop!K74^(2/3)))</f>
        <v>6.193498788239403E-2</v>
      </c>
      <c r="L74">
        <f>IF(GDP!L74=0,"",GDP!L74/('Capital Est'!L74^(1/3)*Pop!L74^(2/3)))</f>
        <v>0.11090575951313685</v>
      </c>
      <c r="N74" s="14">
        <f t="shared" si="22"/>
        <v>1.0523937823583389</v>
      </c>
      <c r="O74" s="14">
        <f t="shared" si="12"/>
        <v>1.0328846773741371</v>
      </c>
      <c r="P74" s="14">
        <f t="shared" si="13"/>
        <v>1.0842462360855392</v>
      </c>
      <c r="Q74" s="14">
        <f t="shared" si="14"/>
        <v>1.054954012522062</v>
      </c>
      <c r="R74" s="14">
        <f t="shared" si="15"/>
        <v>1.0369045458566177</v>
      </c>
      <c r="S74" s="14">
        <f t="shared" si="16"/>
        <v>1.0658275637880221</v>
      </c>
      <c r="T74" s="14">
        <f t="shared" si="17"/>
        <v>1.0229894366479211</v>
      </c>
      <c r="U74" s="14">
        <f t="shared" si="18"/>
        <v>1.043376185181744</v>
      </c>
      <c r="V74" s="14">
        <f t="shared" si="19"/>
        <v>1.0111269955756266</v>
      </c>
      <c r="W74" s="14">
        <f t="shared" si="20"/>
        <v>1.4194867446222523</v>
      </c>
      <c r="X74" s="14">
        <f t="shared" si="21"/>
        <v>1.1189832895620471</v>
      </c>
    </row>
    <row r="75" spans="1:24" x14ac:dyDescent="0.25">
      <c r="A75" s="2">
        <v>44927</v>
      </c>
      <c r="B75">
        <f>IF(GDP!B75=0,"",GDP!B75/('Capital Est'!B75^(1/3)*Pop!B75^(2/3)))</f>
        <v>0.13400823190571512</v>
      </c>
      <c r="C75">
        <f>IF(GDP!C75=0,"",GDP!C75/('Capital Est'!C75^(1/3)*Pop!C75^(2/3)))</f>
        <v>9.7209219405111152E-2</v>
      </c>
      <c r="D75">
        <f>IF(GDP!D75=0,"",GDP!D75/('Capital Est'!D75^(1/3)*Pop!D75^(2/3)))</f>
        <v>7.0284246905495062E-2</v>
      </c>
      <c r="E75">
        <f>IF(GDP!E75=0,"",GDP!E75/('Capital Est'!E75^(1/3)*Pop!E75^(2/3)))</f>
        <v>0.59862797348466601</v>
      </c>
      <c r="F75">
        <f>IF(GDP!F75=0,"",GDP!F75/('Capital Est'!F75^(1/3)*Pop!F75^(2/3)))</f>
        <v>6.5915770645736185E-2</v>
      </c>
      <c r="G75">
        <f>IF(GDP!G75=0,"",GDP!G75/('Capital Est'!G75^(1/3)*Pop!G75^(2/3)))</f>
        <v>7.0377402272191969E-2</v>
      </c>
      <c r="H75">
        <f>IF(GDP!H75=0,"",GDP!H75/('Capital Est'!H75^(1/3)*Pop!H75^(2/3)))</f>
        <v>5.9255008269832918E-2</v>
      </c>
      <c r="I75">
        <f>IF(GDP!I75=0,"",GDP!I75/('Capital Est'!I75^(1/3)*Pop!I75^(2/3)))</f>
        <v>1.5945158603941461</v>
      </c>
      <c r="J75">
        <f>IF(GDP!J75=0,"",GDP!J75/('Capital Est'!J75^(1/3)*Pop!J75^(2/3)))</f>
        <v>0.21420909032450644</v>
      </c>
      <c r="K75">
        <f>IF(GDP!K75=0,"",GDP!K75/('Capital Est'!K75^(1/3)*Pop!K75^(2/3)))</f>
        <v>6.3958064989026842E-2</v>
      </c>
      <c r="L75">
        <f>IF(GDP!L75=0,"",GDP!L75/('Capital Est'!L75^(1/3)*Pop!L75^(2/3)))</f>
        <v>0.11264110944758933</v>
      </c>
      <c r="N75" s="14">
        <f t="shared" si="22"/>
        <v>1.0457743714980883</v>
      </c>
      <c r="O75" s="14">
        <f t="shared" si="12"/>
        <v>1.019698089517225</v>
      </c>
      <c r="P75" s="14">
        <f t="shared" si="13"/>
        <v>1.0709211839608053</v>
      </c>
      <c r="Q75" s="14">
        <f t="shared" si="14"/>
        <v>1.0686743483987851</v>
      </c>
      <c r="R75" s="14">
        <f t="shared" si="15"/>
        <v>1.0386162834171679</v>
      </c>
      <c r="S75" s="14">
        <f t="shared" si="16"/>
        <v>1.0538276837051508</v>
      </c>
      <c r="T75" s="14">
        <f t="shared" si="17"/>
        <v>1.0256431097588115</v>
      </c>
      <c r="U75" s="14">
        <f t="shared" si="18"/>
        <v>1.0609528467398539</v>
      </c>
      <c r="V75" s="14">
        <f t="shared" si="19"/>
        <v>1.02967105469404</v>
      </c>
      <c r="W75" s="14">
        <f t="shared" si="20"/>
        <v>1.4658536082384532</v>
      </c>
      <c r="X75" s="14">
        <f t="shared" si="21"/>
        <v>1.1364920969199275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Capital Est</vt:lpstr>
      <vt:lpstr>INV</vt:lpstr>
      <vt:lpstr>GDP</vt:lpstr>
      <vt:lpstr>Pop</vt:lpstr>
      <vt:lpstr>TFP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2024-11-21T02:38:48Z</dcterms:created>
  <dcterms:modified xsi:type="dcterms:W3CDTF">2024-11-23T00:30:28Z</dcterms:modified>
</cp:coreProperties>
</file>