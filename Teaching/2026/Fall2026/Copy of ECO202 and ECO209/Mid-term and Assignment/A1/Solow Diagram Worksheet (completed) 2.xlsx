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terry_yip_utoronto_ca/Documents/Teaching/University of Toronto/202409/ECO209/Mid-term and Assignment/A1/"/>
    </mc:Choice>
  </mc:AlternateContent>
  <xr:revisionPtr revIDLastSave="54" documentId="8_{30B7B8CF-336D-4135-94E9-5159B7286ECA}" xr6:coauthVersionLast="47" xr6:coauthVersionMax="47" xr10:uidLastSave="{BAA76D00-59A3-4234-8F30-34E1036B35C7}"/>
  <bookViews>
    <workbookView xWindow="8640" yWindow="5890" windowWidth="17300" windowHeight="837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E2" i="1"/>
  <c r="E3" i="1" s="1"/>
  <c r="B9" i="1" l="1"/>
  <c r="F9" i="1" s="1"/>
  <c r="D9" i="1" l="1"/>
  <c r="C9" i="1"/>
  <c r="G9" i="1" s="1"/>
  <c r="E9" i="1" l="1"/>
  <c r="B10" i="1" s="1"/>
  <c r="C10" i="1" s="1"/>
  <c r="D10" i="1"/>
  <c r="F10" i="1" l="1"/>
  <c r="E10" i="1"/>
  <c r="B11" i="1" s="1"/>
  <c r="F11" i="1" s="1"/>
  <c r="G10" i="1"/>
  <c r="D11" i="1" l="1"/>
  <c r="C11" i="1"/>
  <c r="G11" i="1" s="1"/>
  <c r="E11" i="1" l="1"/>
  <c r="B12" i="1" s="1"/>
  <c r="C12" i="1" s="1"/>
  <c r="D12" i="1" l="1"/>
  <c r="E12" i="1" s="1"/>
  <c r="B13" i="1" s="1"/>
  <c r="F13" i="1" s="1"/>
  <c r="F12" i="1"/>
  <c r="G12" i="1" s="1"/>
  <c r="D13" i="1" l="1"/>
  <c r="C13" i="1"/>
  <c r="G13" i="1" s="1"/>
  <c r="E13" i="1" l="1"/>
  <c r="B14" i="1" s="1"/>
  <c r="F14" i="1" s="1"/>
  <c r="D14" i="1" l="1"/>
  <c r="C14" i="1"/>
  <c r="G14" i="1" s="1"/>
  <c r="E14" i="1" l="1"/>
  <c r="B15" i="1" s="1"/>
  <c r="F15" i="1" l="1"/>
  <c r="C15" i="1"/>
  <c r="D15" i="1"/>
  <c r="E15" i="1" l="1"/>
  <c r="B16" i="1" s="1"/>
  <c r="G15" i="1"/>
  <c r="F16" i="1" l="1"/>
  <c r="D16" i="1"/>
  <c r="C16" i="1"/>
  <c r="G16" i="1" l="1"/>
  <c r="E16" i="1"/>
  <c r="B17" i="1" s="1"/>
  <c r="F17" i="1" l="1"/>
  <c r="C17" i="1"/>
  <c r="D17" i="1"/>
  <c r="E17" i="1" l="1"/>
  <c r="B18" i="1" s="1"/>
  <c r="G17" i="1"/>
  <c r="C18" i="1" l="1"/>
  <c r="F18" i="1"/>
  <c r="G18" i="1" s="1"/>
  <c r="D18" i="1"/>
  <c r="E18" i="1" l="1"/>
  <c r="B19" i="1" s="1"/>
  <c r="F19" i="1" l="1"/>
  <c r="C19" i="1"/>
  <c r="D19" i="1"/>
  <c r="G19" i="1" l="1"/>
  <c r="E19" i="1"/>
  <c r="B20" i="1" s="1"/>
  <c r="F20" i="1" l="1"/>
  <c r="C20" i="1"/>
  <c r="D20" i="1"/>
  <c r="G20" i="1" l="1"/>
  <c r="E20" i="1"/>
  <c r="B21" i="1" s="1"/>
  <c r="F21" i="1" l="1"/>
  <c r="D21" i="1"/>
  <c r="C21" i="1"/>
  <c r="E21" i="1" s="1"/>
  <c r="B22" i="1" s="1"/>
  <c r="F22" i="1" l="1"/>
  <c r="C22" i="1"/>
  <c r="D22" i="1"/>
  <c r="G21" i="1"/>
  <c r="G22" i="1" l="1"/>
  <c r="E22" i="1"/>
  <c r="B23" i="1" s="1"/>
  <c r="F23" i="1" l="1"/>
  <c r="C23" i="1"/>
  <c r="D23" i="1"/>
  <c r="G23" i="1" l="1"/>
  <c r="E23" i="1"/>
  <c r="B24" i="1" s="1"/>
  <c r="F24" i="1" l="1"/>
  <c r="C24" i="1"/>
  <c r="D24" i="1"/>
  <c r="G24" i="1" l="1"/>
  <c r="E24" i="1"/>
  <c r="B25" i="1" s="1"/>
  <c r="F25" i="1" l="1"/>
  <c r="D25" i="1"/>
  <c r="C25" i="1"/>
  <c r="E25" i="1" s="1"/>
  <c r="B26" i="1" s="1"/>
  <c r="F26" i="1" l="1"/>
  <c r="C26" i="1"/>
  <c r="D26" i="1"/>
  <c r="G25" i="1"/>
  <c r="G26" i="1" l="1"/>
  <c r="E26" i="1"/>
  <c r="B27" i="1" s="1"/>
  <c r="F27" i="1" l="1"/>
  <c r="C27" i="1"/>
  <c r="D27" i="1"/>
  <c r="G27" i="1" l="1"/>
  <c r="E27" i="1"/>
  <c r="B28" i="1" s="1"/>
  <c r="F28" i="1" l="1"/>
  <c r="C28" i="1"/>
  <c r="D28" i="1"/>
  <c r="G28" i="1" l="1"/>
  <c r="E28" i="1"/>
  <c r="B29" i="1" s="1"/>
  <c r="F29" i="1" l="1"/>
  <c r="C29" i="1"/>
  <c r="D29" i="1"/>
  <c r="G29" i="1" l="1"/>
  <c r="E29" i="1"/>
  <c r="B30" i="1" s="1"/>
  <c r="F30" i="1" l="1"/>
  <c r="D30" i="1"/>
  <c r="C30" i="1"/>
  <c r="G30" i="1" l="1"/>
  <c r="E30" i="1"/>
  <c r="B31" i="1" s="1"/>
  <c r="F31" i="1" l="1"/>
  <c r="D31" i="1"/>
  <c r="C31" i="1"/>
  <c r="G31" i="1" l="1"/>
  <c r="E31" i="1"/>
  <c r="B32" i="1" s="1"/>
  <c r="D32" i="1" l="1"/>
  <c r="F32" i="1"/>
  <c r="C32" i="1"/>
  <c r="E32" i="1" s="1"/>
  <c r="B33" i="1" s="1"/>
  <c r="F33" i="1" l="1"/>
  <c r="D33" i="1"/>
  <c r="C33" i="1"/>
  <c r="G32" i="1"/>
  <c r="G33" i="1" l="1"/>
  <c r="E33" i="1"/>
  <c r="B34" i="1" s="1"/>
  <c r="C34" i="1" l="1"/>
  <c r="F34" i="1"/>
  <c r="D34" i="1"/>
  <c r="G34" i="1" l="1"/>
  <c r="E34" i="1"/>
  <c r="B35" i="1" s="1"/>
  <c r="C35" i="1" l="1"/>
  <c r="F35" i="1"/>
  <c r="D35" i="1"/>
  <c r="E35" i="1" l="1"/>
  <c r="B36" i="1" s="1"/>
  <c r="G35" i="1"/>
  <c r="F36" i="1"/>
  <c r="C36" i="1"/>
  <c r="D36" i="1"/>
  <c r="G36" i="1" l="1"/>
  <c r="E36" i="1"/>
  <c r="B37" i="1" s="1"/>
  <c r="F37" i="1" l="1"/>
  <c r="D37" i="1"/>
  <c r="C37" i="1"/>
  <c r="E37" i="1" s="1"/>
  <c r="B38" i="1" s="1"/>
  <c r="F38" i="1" l="1"/>
  <c r="C38" i="1"/>
  <c r="D38" i="1"/>
  <c r="G37" i="1"/>
  <c r="G38" i="1" l="1"/>
  <c r="E38" i="1"/>
  <c r="B39" i="1" s="1"/>
  <c r="C39" i="1" l="1"/>
  <c r="F39" i="1"/>
  <c r="G39" i="1" s="1"/>
  <c r="D39" i="1"/>
  <c r="E39" i="1" s="1"/>
  <c r="B40" i="1" s="1"/>
  <c r="C40" i="1" l="1"/>
  <c r="D40" i="1"/>
  <c r="F40" i="1"/>
  <c r="G40" i="1" s="1"/>
  <c r="E40" i="1" l="1"/>
  <c r="B41" i="1" s="1"/>
  <c r="D41" i="1" l="1"/>
  <c r="C41" i="1"/>
  <c r="E41" i="1" s="1"/>
  <c r="F41" i="1"/>
  <c r="G41" i="1" s="1"/>
  <c r="B42" i="1"/>
  <c r="C42" i="1" l="1"/>
  <c r="D42" i="1"/>
  <c r="F42" i="1"/>
  <c r="G42" i="1" s="1"/>
  <c r="E42" i="1" l="1"/>
  <c r="B43" i="1" s="1"/>
  <c r="C43" i="1" l="1"/>
  <c r="D43" i="1"/>
  <c r="F43" i="1"/>
  <c r="G43" i="1" s="1"/>
  <c r="E43" i="1" l="1"/>
  <c r="B44" i="1" s="1"/>
  <c r="D44" i="1" l="1"/>
  <c r="C44" i="1"/>
  <c r="E44" i="1" s="1"/>
  <c r="B45" i="1" s="1"/>
  <c r="F44" i="1"/>
  <c r="G44" i="1" s="1"/>
  <c r="C45" i="1" l="1"/>
  <c r="D45" i="1"/>
  <c r="F45" i="1"/>
  <c r="G45" i="1" s="1"/>
  <c r="E45" i="1" l="1"/>
  <c r="B46" i="1" s="1"/>
  <c r="C46" i="1" l="1"/>
  <c r="D46" i="1"/>
  <c r="F46" i="1"/>
  <c r="G46" i="1" s="1"/>
  <c r="E46" i="1" l="1"/>
  <c r="B47" i="1" s="1"/>
  <c r="D47" i="1" l="1"/>
  <c r="C47" i="1"/>
  <c r="E47" i="1" s="1"/>
  <c r="F47" i="1"/>
  <c r="G47" i="1" s="1"/>
  <c r="B48" i="1"/>
  <c r="F48" i="1" l="1"/>
  <c r="C48" i="1"/>
  <c r="D48" i="1"/>
  <c r="E48" i="1" l="1"/>
  <c r="G48" i="1"/>
</calcChain>
</file>

<file path=xl/sharedStrings.xml><?xml version="1.0" encoding="utf-8"?>
<sst xmlns="http://schemas.openxmlformats.org/spreadsheetml/2006/main" count="16" uniqueCount="16">
  <si>
    <t>s</t>
  </si>
  <si>
    <t>A</t>
  </si>
  <si>
    <t>alpha</t>
  </si>
  <si>
    <t>t</t>
  </si>
  <si>
    <t>k</t>
  </si>
  <si>
    <t>delta</t>
  </si>
  <si>
    <t>Ask^alpha</t>
  </si>
  <si>
    <t>delta k</t>
  </si>
  <si>
    <t>Change in k</t>
  </si>
  <si>
    <t>Parameters/Exg. Var</t>
  </si>
  <si>
    <t>Steady State</t>
  </si>
  <si>
    <t>k*</t>
  </si>
  <si>
    <t>y*</t>
  </si>
  <si>
    <t>y</t>
  </si>
  <si>
    <t>c</t>
  </si>
  <si>
    <t>k0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</si>
</sst>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Sheet1!$B$8</c:f>
              <c:strCache>
                <c:ptCount val="1"/>
                <c:pt idx="0">
                  <c:v>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Sheet1!$A$9:$A$48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Sheet1!$B$9:$B$48</c:f>
              <c:numCache>
                <c:formatCode>0.00</c:formatCode>
                <c:ptCount val="40"/>
                <c:pt idx="0">
                  <c:v>4</c:v>
                </c:pt>
                <c:pt idx="1">
                  <c:v>4.0374802103789689</c:v>
                </c:pt>
                <c:pt idx="2">
                  <c:v>4.07332532702205</c:v>
                </c:pt>
                <c:pt idx="3">
                  <c:v>4.1076009748702589</c:v>
                </c:pt>
                <c:pt idx="4">
                  <c:v>4.1403707305650288</c:v>
                </c:pt>
                <c:pt idx="5">
                  <c:v>4.1716961197653859</c:v>
                </c:pt>
                <c:pt idx="6">
                  <c:v>4.2016366243974561</c:v>
                </c:pt>
                <c:pt idx="7">
                  <c:v>4.2302496983516908</c:v>
                </c:pt>
                <c:pt idx="8">
                  <c:v>4.2575907903252013</c:v>
                </c:pt>
                <c:pt idx="9">
                  <c:v>4.2837133726666821</c:v>
                </c:pt>
                <c:pt idx="10">
                  <c:v>4.3086689752223233</c:v>
                </c:pt>
                <c:pt idx="11">
                  <c:v>4.3325072233053055</c:v>
                </c:pt>
                <c:pt idx="12">
                  <c:v>4.3552758790209767</c:v>
                </c:pt>
                <c:pt idx="13">
                  <c:v>4.3770208852764103</c:v>
                </c:pt>
                <c:pt idx="14">
                  <c:v>4.3977864118883341</c:v>
                </c:pt>
                <c:pt idx="15">
                  <c:v>4.4176149032787304</c:v>
                </c:pt>
                <c:pt idx="16">
                  <c:v>4.4365471273138963</c:v>
                </c:pt>
                <c:pt idx="17">
                  <c:v>4.4546222249015344</c:v>
                </c:pt>
                <c:pt idx="18">
                  <c:v>4.4718777600123243</c:v>
                </c:pt>
                <c:pt idx="19">
                  <c:v>4.488349769838277</c:v>
                </c:pt>
                <c:pt idx="20">
                  <c:v>4.5040728148406552</c:v>
                </c:pt>
                <c:pt idx="21">
                  <c:v>4.5190800284759778</c:v>
                </c:pt>
                <c:pt idx="22">
                  <c:v>4.5334031664201557</c:v>
                </c:pt>
                <c:pt idx="23">
                  <c:v>4.5470726551386234</c:v>
                </c:pt>
                <c:pt idx="24">
                  <c:v>4.56011763967481</c:v>
                </c:pt>
                <c:pt idx="25">
                  <c:v>4.5725660305508811</c:v>
                </c:pt>
                <c:pt idx="26">
                  <c:v>4.5844445496936377</c:v>
                </c:pt>
                <c:pt idx="27">
                  <c:v>4.5957787753151091</c:v>
                </c:pt>
                <c:pt idx="28">
                  <c:v>4.6065931856919962</c:v>
                </c:pt>
                <c:pt idx="29">
                  <c:v>4.6169112018008907</c:v>
                </c:pt>
                <c:pt idx="30">
                  <c:v>4.6267552287773768</c:v>
                </c:pt>
                <c:pt idx="31">
                  <c:v>4.6361466961768487</c:v>
                </c:pt>
                <c:pt idx="32">
                  <c:v>4.6451060970233407</c:v>
                </c:pt>
                <c:pt idx="33">
                  <c:v>4.653653025640005</c:v>
                </c:pt>
                <c:pt idx="34">
                  <c:v>4.6618062142611958</c:v>
                </c:pt>
                <c:pt idx="35">
                  <c:v>4.6695835684315643</c:v>
                </c:pt>
                <c:pt idx="36">
                  <c:v>4.6770022012022316</c:v>
                </c:pt>
                <c:pt idx="37">
                  <c:v>4.6840784661380663</c:v>
                </c:pt>
                <c:pt idx="38">
                  <c:v>4.6908279891534352</c:v>
                </c:pt>
                <c:pt idx="39">
                  <c:v>4.697265699196608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BC-426A-9A95-CCF70DD87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37999"/>
        <c:axId val="22938959"/>
      </c:scatterChart>
      <c:valAx>
        <c:axId val="2293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8959"/>
        <c:crosses val="autoZero"/>
        <c:crossBetween val="midCat"/>
      </c:valAx>
      <c:valAx>
        <c:axId val="2293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Sheet1!$C$8</c:f>
              <c:strCache>
                <c:ptCount val="1"/>
                <c:pt idx="0">
                  <c:v>Ask^alpha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Sheet1!$B$9:$B$48</c:f>
              <c:numCache>
                <c:formatCode>0.00</c:formatCode>
                <c:ptCount val="40"/>
                <c:pt idx="0">
                  <c:v>4</c:v>
                </c:pt>
                <c:pt idx="1">
                  <c:v>4.0374802103789689</c:v>
                </c:pt>
                <c:pt idx="2">
                  <c:v>4.07332532702205</c:v>
                </c:pt>
                <c:pt idx="3">
                  <c:v>4.1076009748702589</c:v>
                </c:pt>
                <c:pt idx="4">
                  <c:v>4.1403707305650288</c:v>
                </c:pt>
                <c:pt idx="5">
                  <c:v>4.1716961197653859</c:v>
                </c:pt>
                <c:pt idx="6">
                  <c:v>4.2016366243974561</c:v>
                </c:pt>
                <c:pt idx="7">
                  <c:v>4.2302496983516908</c:v>
                </c:pt>
                <c:pt idx="8">
                  <c:v>4.2575907903252013</c:v>
                </c:pt>
                <c:pt idx="9">
                  <c:v>4.2837133726666821</c:v>
                </c:pt>
                <c:pt idx="10">
                  <c:v>4.3086689752223233</c:v>
                </c:pt>
                <c:pt idx="11">
                  <c:v>4.3325072233053055</c:v>
                </c:pt>
                <c:pt idx="12">
                  <c:v>4.3552758790209767</c:v>
                </c:pt>
                <c:pt idx="13">
                  <c:v>4.3770208852764103</c:v>
                </c:pt>
                <c:pt idx="14">
                  <c:v>4.3977864118883341</c:v>
                </c:pt>
                <c:pt idx="15">
                  <c:v>4.4176149032787304</c:v>
                </c:pt>
                <c:pt idx="16">
                  <c:v>4.4365471273138963</c:v>
                </c:pt>
                <c:pt idx="17">
                  <c:v>4.4546222249015344</c:v>
                </c:pt>
                <c:pt idx="18">
                  <c:v>4.4718777600123243</c:v>
                </c:pt>
                <c:pt idx="19">
                  <c:v>4.488349769838277</c:v>
                </c:pt>
                <c:pt idx="20">
                  <c:v>4.5040728148406552</c:v>
                </c:pt>
                <c:pt idx="21">
                  <c:v>4.5190800284759778</c:v>
                </c:pt>
                <c:pt idx="22">
                  <c:v>4.5334031664201557</c:v>
                </c:pt>
                <c:pt idx="23">
                  <c:v>4.5470726551386234</c:v>
                </c:pt>
                <c:pt idx="24">
                  <c:v>4.56011763967481</c:v>
                </c:pt>
                <c:pt idx="25">
                  <c:v>4.5725660305508811</c:v>
                </c:pt>
                <c:pt idx="26">
                  <c:v>4.5844445496936377</c:v>
                </c:pt>
                <c:pt idx="27">
                  <c:v>4.5957787753151091</c:v>
                </c:pt>
                <c:pt idx="28">
                  <c:v>4.6065931856919962</c:v>
                </c:pt>
                <c:pt idx="29">
                  <c:v>4.6169112018008907</c:v>
                </c:pt>
                <c:pt idx="30">
                  <c:v>4.6267552287773768</c:v>
                </c:pt>
                <c:pt idx="31">
                  <c:v>4.6361466961768487</c:v>
                </c:pt>
                <c:pt idx="32">
                  <c:v>4.6451060970233407</c:v>
                </c:pt>
                <c:pt idx="33">
                  <c:v>4.653653025640005</c:v>
                </c:pt>
                <c:pt idx="34">
                  <c:v>4.6618062142611958</c:v>
                </c:pt>
                <c:pt idx="35">
                  <c:v>4.6695835684315643</c:v>
                </c:pt>
                <c:pt idx="36">
                  <c:v>4.6770022012022316</c:v>
                </c:pt>
                <c:pt idx="37">
                  <c:v>4.6840784661380663</c:v>
                </c:pt>
                <c:pt idx="38">
                  <c:v>4.6908279891534352</c:v>
                </c:pt>
                <c:pt idx="39">
                  <c:v>4.697265699196608</c:v>
                </c:pt>
              </c:numCache>
            </c:numRef>
          </c:xVal>
          <c:yVal>
            <c:numRef>
              <c:f>Sheet1!$C$9:$C$48</c:f>
              <c:numCache>
                <c:formatCode>0.00</c:formatCode>
                <c:ptCount val="40"/>
                <c:pt idx="0">
                  <c:v>0.31748021037896917</c:v>
                </c:pt>
                <c:pt idx="1">
                  <c:v>0.31846873136960885</c:v>
                </c:pt>
                <c:pt idx="2">
                  <c:v>0.3194084207397529</c:v>
                </c:pt>
                <c:pt idx="3">
                  <c:v>0.32030182393568779</c:v>
                </c:pt>
                <c:pt idx="4">
                  <c:v>0.32115134033990889</c:v>
                </c:pt>
                <c:pt idx="5">
                  <c:v>0.32195923301564755</c:v>
                </c:pt>
                <c:pt idx="6">
                  <c:v>0.32272763766205675</c:v>
                </c:pt>
                <c:pt idx="7">
                  <c:v>0.32345857085812924</c:v>
                </c:pt>
                <c:pt idx="8">
                  <c:v>0.32415393766424527</c:v>
                </c:pt>
                <c:pt idx="9">
                  <c:v>0.32481553864230894</c:v>
                </c:pt>
                <c:pt idx="10">
                  <c:v>0.32544507634854525</c:v>
                </c:pt>
                <c:pt idx="11">
                  <c:v>0.326044161347043</c:v>
                </c:pt>
                <c:pt idx="12">
                  <c:v>0.32661431778690164</c:v>
                </c:pt>
                <c:pt idx="13">
                  <c:v>0.3271569885812729</c:v>
                </c:pt>
                <c:pt idx="14">
                  <c:v>0.32767354022257988</c:v>
                </c:pt>
                <c:pt idx="15">
                  <c:v>0.32816526726467732</c:v>
                </c:pt>
                <c:pt idx="16">
                  <c:v>0.3286333964996111</c:v>
                </c:pt>
                <c:pt idx="17">
                  <c:v>0.32907909085389742</c:v>
                </c:pt>
                <c:pt idx="18">
                  <c:v>0.32950345302681555</c:v>
                </c:pt>
                <c:pt idx="19">
                  <c:v>0.32990752889105801</c:v>
                </c:pt>
                <c:pt idx="20">
                  <c:v>0.33029231067416842</c:v>
                </c:pt>
                <c:pt idx="21">
                  <c:v>0.33065873993749678</c:v>
                </c:pt>
                <c:pt idx="22">
                  <c:v>0.33100771036787874</c:v>
                </c:pt>
                <c:pt idx="23">
                  <c:v>0.33134007039589014</c:v>
                </c:pt>
                <c:pt idx="24">
                  <c:v>0.33165662565330822</c:v>
                </c:pt>
                <c:pt idx="25">
                  <c:v>0.33195814128131856</c:v>
                </c:pt>
                <c:pt idx="26">
                  <c:v>0.33224534410002643</c:v>
                </c:pt>
                <c:pt idx="27">
                  <c:v>0.332518924648945</c:v>
                </c:pt>
                <c:pt idx="28">
                  <c:v>0.33277953910733449</c:v>
                </c:pt>
                <c:pt idx="29">
                  <c:v>0.33302781110254864</c:v>
                </c:pt>
                <c:pt idx="30">
                  <c:v>0.33326433341388806</c:v>
                </c:pt>
                <c:pt idx="31">
                  <c:v>0.33348966957887138</c:v>
                </c:pt>
                <c:pt idx="32">
                  <c:v>0.33370435540829868</c:v>
                </c:pt>
                <c:pt idx="33">
                  <c:v>0.33390890041599153</c:v>
                </c:pt>
                <c:pt idx="34">
                  <c:v>0.33410378916865224</c:v>
                </c:pt>
                <c:pt idx="35">
                  <c:v>0.33428948256087693</c:v>
                </c:pt>
                <c:pt idx="36">
                  <c:v>0.33446641901999091</c:v>
                </c:pt>
                <c:pt idx="37">
                  <c:v>0.33463501564503373</c:v>
                </c:pt>
                <c:pt idx="38">
                  <c:v>0.33479566928391358</c:v>
                </c:pt>
                <c:pt idx="39">
                  <c:v>0.33494875755246684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1A-43BF-8999-0CACA7B7B872}"/>
            </c:ext>
          </c:extLst>
        </c:ser>
        <c:ser>
          <c:idx val="1"/>
          <c:order val="1"/>
          <c:tx>
            <c:strRef>
              <c:f>Sheet1!$D$8</c:f>
              <c:strCache>
                <c:ptCount val="1"/>
                <c:pt idx="0">
                  <c:v>delta 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862DE91-C4C9-4DEA-83F7-479CAF4B6827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D1A-43BF-8999-0CACA7B7B87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6998E25-4761-46ED-B37F-A2402FDF0729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D1A-43BF-8999-0CACA7B7B87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1FE3365-FE9F-42A8-8643-BF3018F3A1F9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D1A-43BF-8999-0CACA7B7B87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E45F6CF-5F98-43A3-B8C6-7AD56D883267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D1A-43BF-8999-0CACA7B7B87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A8C653B-4A67-49CB-88B8-A6E61C0DEBF9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D1A-43BF-8999-0CACA7B7B87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AEE6DB3-1BFC-4070-9CF4-EA9BC32ED9D5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D1A-43BF-8999-0CACA7B7B87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9898E9B-A7FD-41B3-BC67-30E9754C5FC1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9D1A-43BF-8999-0CACA7B7B87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0F929C7-A2A1-4C16-A889-FF3C13CFC32C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9D1A-43BF-8999-0CACA7B7B87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1205374-0D04-4A4C-A99F-98E30906384F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9D1A-43BF-8999-0CACA7B7B87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C310613-31DD-4A7D-B547-66DC7CDFBBB1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9D1A-43BF-8999-0CACA7B7B87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4F857DB-7194-40AA-9BD7-96A174C10A34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9D1A-43BF-8999-0CACA7B7B87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37BB7CD-CD16-42E2-AF32-32C516D1AF3D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9D1A-43BF-8999-0CACA7B7B87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053D67B-60FE-4E73-B6C1-AC611BE12D07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9D1A-43BF-8999-0CACA7B7B87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52097C2-9EA1-4838-8AF5-B5912737AC5B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9D1A-43BF-8999-0CACA7B7B87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7B09B17-E364-4C01-B11A-CC255E6F8004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9D1A-43BF-8999-0CACA7B7B87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7C705CF-BDF7-440D-B8CF-ADA309660CF0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9D1A-43BF-8999-0CACA7B7B87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8463436-34CB-4F45-B2FC-080E23505A84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9D1A-43BF-8999-0CACA7B7B87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46F0822-55C3-47D8-B378-0FBAC76E691F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9D1A-43BF-8999-0CACA7B7B87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1484BC0-B800-4363-A173-248DEE4C8AE2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9D1A-43BF-8999-0CACA7B7B87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A3765F0-8363-4153-81A8-5BF6C5F261E6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9D1A-43BF-8999-0CACA7B7B87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C4EDDD1-795F-4989-B6E9-4075A1C8257E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9D1A-43BF-8999-0CACA7B7B87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AE6190E-079D-420D-BE02-45B06998C49B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9D1A-43BF-8999-0CACA7B7B87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D2A2D70-DEA3-41A4-AE1B-66861B255440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9D1A-43BF-8999-0CACA7B7B872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5B4B34C-6A51-46FE-AE98-ADCDCCB74267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9D1A-43BF-8999-0CACA7B7B872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6E727283-BD42-49D2-956F-ED7E918FEC14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9D1A-43BF-8999-0CACA7B7B872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02D91327-AA28-4689-91BA-EFF3C6019B01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9D1A-43BF-8999-0CACA7B7B872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318BE740-F659-4547-AF84-73933291E231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9D1A-43BF-8999-0CACA7B7B872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62AA14D8-E1B6-43B3-8286-84E68A4E8D46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9D1A-43BF-8999-0CACA7B7B872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B49B1101-D336-4C0D-B274-D91DCF10D430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9D1A-43BF-8999-0CACA7B7B872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4221D11F-A18F-483B-9B0E-B022066B9954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9D1A-43BF-8999-0CACA7B7B872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DDF42E99-A2F8-438E-B664-1BB101BCDE67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9D1A-43BF-8999-0CACA7B7B872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4A38E941-A29C-4A09-8CB6-F8560C1B1DF0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9D1A-43BF-8999-0CACA7B7B872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0F1C5A29-E6C8-492D-AB6D-939C1ADE90BB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9D1A-43BF-8999-0CACA7B7B872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07FEC159-E7C0-4CFB-9629-3805F26F666E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9D1A-43BF-8999-0CACA7B7B872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47F7097B-588C-4E4C-9442-62CAFF0D309F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9D1A-43BF-8999-0CACA7B7B872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BE148385-CE23-4836-BEB1-4AB32BFF4B25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9D1A-43BF-8999-0CACA7B7B872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1B45761E-EE6E-4145-B63B-128406C414AE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9D1A-43BF-8999-0CACA7B7B872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D5D6699A-2351-4BE6-8D6B-ED7724755D1B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9D1A-43BF-8999-0CACA7B7B872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1943566E-A6FD-4AC4-91C6-CEE8FCB6D96C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9D1A-43BF-8999-0CACA7B7B872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0A667B5E-6D5A-4791-B10D-2D53335CB541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9D1A-43BF-8999-0CACA7B7B8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Sheet1!$B$9:$B$48</c:f>
              <c:numCache>
                <c:formatCode>0.00</c:formatCode>
                <c:ptCount val="40"/>
                <c:pt idx="0">
                  <c:v>4</c:v>
                </c:pt>
                <c:pt idx="1">
                  <c:v>4.0374802103789689</c:v>
                </c:pt>
                <c:pt idx="2">
                  <c:v>4.07332532702205</c:v>
                </c:pt>
                <c:pt idx="3">
                  <c:v>4.1076009748702589</c:v>
                </c:pt>
                <c:pt idx="4">
                  <c:v>4.1403707305650288</c:v>
                </c:pt>
                <c:pt idx="5">
                  <c:v>4.1716961197653859</c:v>
                </c:pt>
                <c:pt idx="6">
                  <c:v>4.2016366243974561</c:v>
                </c:pt>
                <c:pt idx="7">
                  <c:v>4.2302496983516908</c:v>
                </c:pt>
                <c:pt idx="8">
                  <c:v>4.2575907903252013</c:v>
                </c:pt>
                <c:pt idx="9">
                  <c:v>4.2837133726666821</c:v>
                </c:pt>
                <c:pt idx="10">
                  <c:v>4.3086689752223233</c:v>
                </c:pt>
                <c:pt idx="11">
                  <c:v>4.3325072233053055</c:v>
                </c:pt>
                <c:pt idx="12">
                  <c:v>4.3552758790209767</c:v>
                </c:pt>
                <c:pt idx="13">
                  <c:v>4.3770208852764103</c:v>
                </c:pt>
                <c:pt idx="14">
                  <c:v>4.3977864118883341</c:v>
                </c:pt>
                <c:pt idx="15">
                  <c:v>4.4176149032787304</c:v>
                </c:pt>
                <c:pt idx="16">
                  <c:v>4.4365471273138963</c:v>
                </c:pt>
                <c:pt idx="17">
                  <c:v>4.4546222249015344</c:v>
                </c:pt>
                <c:pt idx="18">
                  <c:v>4.4718777600123243</c:v>
                </c:pt>
                <c:pt idx="19">
                  <c:v>4.488349769838277</c:v>
                </c:pt>
                <c:pt idx="20">
                  <c:v>4.5040728148406552</c:v>
                </c:pt>
                <c:pt idx="21">
                  <c:v>4.5190800284759778</c:v>
                </c:pt>
                <c:pt idx="22">
                  <c:v>4.5334031664201557</c:v>
                </c:pt>
                <c:pt idx="23">
                  <c:v>4.5470726551386234</c:v>
                </c:pt>
                <c:pt idx="24">
                  <c:v>4.56011763967481</c:v>
                </c:pt>
                <c:pt idx="25">
                  <c:v>4.5725660305508811</c:v>
                </c:pt>
                <c:pt idx="26">
                  <c:v>4.5844445496936377</c:v>
                </c:pt>
                <c:pt idx="27">
                  <c:v>4.5957787753151091</c:v>
                </c:pt>
                <c:pt idx="28">
                  <c:v>4.6065931856919962</c:v>
                </c:pt>
                <c:pt idx="29">
                  <c:v>4.6169112018008907</c:v>
                </c:pt>
                <c:pt idx="30">
                  <c:v>4.6267552287773768</c:v>
                </c:pt>
                <c:pt idx="31">
                  <c:v>4.6361466961768487</c:v>
                </c:pt>
                <c:pt idx="32">
                  <c:v>4.6451060970233407</c:v>
                </c:pt>
                <c:pt idx="33">
                  <c:v>4.653653025640005</c:v>
                </c:pt>
                <c:pt idx="34">
                  <c:v>4.6618062142611958</c:v>
                </c:pt>
                <c:pt idx="35">
                  <c:v>4.6695835684315643</c:v>
                </c:pt>
                <c:pt idx="36">
                  <c:v>4.6770022012022316</c:v>
                </c:pt>
                <c:pt idx="37">
                  <c:v>4.6840784661380663</c:v>
                </c:pt>
                <c:pt idx="38">
                  <c:v>4.6908279891534352</c:v>
                </c:pt>
                <c:pt idx="39">
                  <c:v>4.697265699196608</c:v>
                </c:pt>
              </c:numCache>
            </c:numRef>
          </c:xVal>
          <c:yVal>
            <c:numRef>
              <c:f>Sheet1!$D$9:$D$48</c:f>
              <c:numCache>
                <c:formatCode>0.00</c:formatCode>
                <c:ptCount val="40"/>
                <c:pt idx="0">
                  <c:v>0.28000000000000003</c:v>
                </c:pt>
                <c:pt idx="1">
                  <c:v>0.28262361472652786</c:v>
                </c:pt>
                <c:pt idx="2">
                  <c:v>0.28513277289154354</c:v>
                </c:pt>
                <c:pt idx="3">
                  <c:v>0.28753206824091815</c:v>
                </c:pt>
                <c:pt idx="4">
                  <c:v>0.28982595113955206</c:v>
                </c:pt>
                <c:pt idx="5">
                  <c:v>0.29201872838357706</c:v>
                </c:pt>
                <c:pt idx="6">
                  <c:v>0.29411456370782196</c:v>
                </c:pt>
                <c:pt idx="7">
                  <c:v>0.29611747888461837</c:v>
                </c:pt>
                <c:pt idx="8">
                  <c:v>0.29803135532276409</c:v>
                </c:pt>
                <c:pt idx="9">
                  <c:v>0.29985993608666778</c:v>
                </c:pt>
                <c:pt idx="10">
                  <c:v>0.30160682826556268</c:v>
                </c:pt>
                <c:pt idx="11">
                  <c:v>0.3032755056313714</c:v>
                </c:pt>
                <c:pt idx="12">
                  <c:v>0.3048693115314684</c:v>
                </c:pt>
                <c:pt idx="13">
                  <c:v>0.30639146196934874</c:v>
                </c:pt>
                <c:pt idx="14">
                  <c:v>0.30784504883218339</c:v>
                </c:pt>
                <c:pt idx="15">
                  <c:v>0.30923304322951117</c:v>
                </c:pt>
                <c:pt idx="16">
                  <c:v>0.31055829891197279</c:v>
                </c:pt>
                <c:pt idx="17">
                  <c:v>0.31182355574310744</c:v>
                </c:pt>
                <c:pt idx="18">
                  <c:v>0.31303144320086274</c:v>
                </c:pt>
                <c:pt idx="19">
                  <c:v>0.31418448388867942</c:v>
                </c:pt>
                <c:pt idx="20">
                  <c:v>0.31528509703884589</c:v>
                </c:pt>
                <c:pt idx="21">
                  <c:v>0.31633560199331845</c:v>
                </c:pt>
                <c:pt idx="22">
                  <c:v>0.31733822164941095</c:v>
                </c:pt>
                <c:pt idx="23">
                  <c:v>0.31829508585970367</c:v>
                </c:pt>
                <c:pt idx="24">
                  <c:v>0.31920823477723675</c:v>
                </c:pt>
                <c:pt idx="25">
                  <c:v>0.32007962213856173</c:v>
                </c:pt>
                <c:pt idx="26">
                  <c:v>0.32091111847855469</c:v>
                </c:pt>
                <c:pt idx="27">
                  <c:v>0.32170451427205765</c:v>
                </c:pt>
                <c:pt idx="28">
                  <c:v>0.32246152299843978</c:v>
                </c:pt>
                <c:pt idx="29">
                  <c:v>0.32318378412606236</c:v>
                </c:pt>
                <c:pt idx="30">
                  <c:v>0.32387286601441639</c:v>
                </c:pt>
                <c:pt idx="31">
                  <c:v>0.32453026873237945</c:v>
                </c:pt>
                <c:pt idx="32">
                  <c:v>0.3251574267916339</c:v>
                </c:pt>
                <c:pt idx="33">
                  <c:v>0.3257557117948004</c:v>
                </c:pt>
                <c:pt idx="34">
                  <c:v>0.32632643499828373</c:v>
                </c:pt>
                <c:pt idx="35">
                  <c:v>0.32687084979020953</c:v>
                </c:pt>
                <c:pt idx="36">
                  <c:v>0.32739015408415623</c:v>
                </c:pt>
                <c:pt idx="37">
                  <c:v>0.32788549262966465</c:v>
                </c:pt>
                <c:pt idx="38">
                  <c:v>0.32835795924074052</c:v>
                </c:pt>
                <c:pt idx="39">
                  <c:v>0.32880859894376258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Sheet1!$A$9:$A$48</c15:f>
                <c15:dlblRangeCache>
                  <c:ptCount val="40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D1A-43BF-8999-0CACA7B7B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211168"/>
        <c:axId val="606210208"/>
      </c:scatterChart>
      <c:valAx>
        <c:axId val="60621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210208"/>
        <c:crosses val="autoZero"/>
        <c:crossBetween val="midCat"/>
      </c:valAx>
      <c:valAx>
        <c:axId val="60621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211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582448</xdr:colOff>
      <xdr:row>1</xdr:row>
      <xdr:rowOff>96344</xdr:rowOff>
    </xdr:from>
    <xdr:to>
      <xdr:col>20</xdr:col>
      <xdr:colOff>48171</xdr:colOff>
      <xdr:row>26</xdr:row>
      <xdr:rowOff>160721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B48B93-70C7-3B20-2035-3B2867198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582448</xdr:colOff>
      <xdr:row>26</xdr:row>
      <xdr:rowOff>144517</xdr:rowOff>
    </xdr:from>
    <xdr:to>
      <xdr:col>19</xdr:col>
      <xdr:colOff>477345</xdr:colOff>
      <xdr:row>52</xdr:row>
      <xdr:rowOff>70067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570A1B-8BC8-F61D-97B7-E1DCEE84D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163BD-46C2-7148-A57A-3ECE57C6357C}">
  <dimension ref="A1:G48"/>
  <sheetViews>
    <sheetView tabSelected="1" topLeftCell="A7" zoomScale="145" zoomScaleNormal="145" zoomScaleSheetLayoutView="100" workbookViewId="0">
      <selection activeCell="I13" sqref="I13"/>
    </sheetView>
  </sheetViews>
  <sheetFormatPr defaultRowHeight="14.5" x14ac:dyDescent="0.35"/>
  <cols>
    <col min="3" max="3" width="11.81640625" bestFit="1" customWidth="1"/>
    <col min="5" max="5" width="11.81640625" bestFit="1" customWidth="1"/>
  </cols>
  <sheetData>
    <row r="1" spans="1:7" x14ac:dyDescent="0.35">
      <c r="A1" t="s">
        <v>9</v>
      </c>
      <c r="D1" t="s">
        <v>10</v>
      </c>
    </row>
    <row r="2" spans="1:7" x14ac:dyDescent="0.35">
      <c r="A2" t="s">
        <v>0</v>
      </c>
      <c r="B2">
        <v>0.2</v>
      </c>
      <c r="D2" t="s">
        <v>11</v>
      </c>
      <c r="E2" s="2">
        <f>(B2*B3/B5)^(1/(1-B4))</f>
        <v>4.8294528837826949</v>
      </c>
    </row>
    <row r="3" spans="1:7" x14ac:dyDescent="0.35">
      <c r="A3" t="s">
        <v>1</v>
      </c>
      <c r="B3">
        <v>1</v>
      </c>
      <c r="D3" t="s">
        <v>12</v>
      </c>
      <c r="E3" s="2">
        <f>B3*E2^B4</f>
        <v>1.6903085093239436</v>
      </c>
    </row>
    <row r="4" spans="1:7" x14ac:dyDescent="0.35">
      <c r="A4" t="s">
        <v>2</v>
      </c>
      <c r="B4">
        <v>0.33333333329999998</v>
      </c>
    </row>
    <row r="5" spans="1:7" x14ac:dyDescent="0.35">
      <c r="A5" t="s">
        <v>5</v>
      </c>
      <c r="B5">
        <f>0.05+0.02</f>
        <v>7.0000000000000007E-2</v>
      </c>
    </row>
    <row r="6" spans="1:7" x14ac:dyDescent="0.35">
      <c r="A6" t="s">
        <v>15</v>
      </c>
      <c r="B6" s="2">
        <v>4</v>
      </c>
    </row>
    <row r="8" spans="1:7" x14ac:dyDescent="0.35">
      <c r="A8" s="1" t="s">
        <v>3</v>
      </c>
      <c r="B8" s="1" t="s">
        <v>4</v>
      </c>
      <c r="C8" s="1" t="s">
        <v>6</v>
      </c>
      <c r="D8" s="1" t="s">
        <v>7</v>
      </c>
      <c r="E8" s="1" t="s">
        <v>8</v>
      </c>
      <c r="F8" s="1" t="s">
        <v>13</v>
      </c>
      <c r="G8" s="1" t="s">
        <v>14</v>
      </c>
    </row>
    <row r="9" spans="1:7" x14ac:dyDescent="0.35">
      <c r="A9">
        <v>1</v>
      </c>
      <c r="B9" s="2">
        <f>B6</f>
        <v>4</v>
      </c>
      <c r="C9" s="2">
        <f>$B$3*$B$2*B9 ^$B$4</f>
        <v>0.31748021037896917</v>
      </c>
      <c r="D9" s="2">
        <f>B9*$B$5</f>
        <v>0.28000000000000003</v>
      </c>
      <c r="E9" s="3">
        <f>C9-D9</f>
        <v>3.7480210378969148E-2</v>
      </c>
      <c r="F9" s="2">
        <f>$B$3*B9^$B$4</f>
        <v>1.5874010518948458</v>
      </c>
      <c r="G9" s="2">
        <f>F9-C9</f>
        <v>1.2699208415158767</v>
      </c>
    </row>
    <row r="10" spans="1:7" x14ac:dyDescent="0.35">
      <c r="A10">
        <v>2</v>
      </c>
      <c r="B10" s="2">
        <f>B9+E9</f>
        <v>4.0374802103789689</v>
      </c>
      <c r="C10" s="2">
        <f t="shared" ref="C10:C38" si="0">$B$3*$B$2*B10 ^$B$4</f>
        <v>0.31846873136960885</v>
      </c>
      <c r="D10" s="2">
        <f t="shared" ref="D10:D18" si="1">B10*$B$5</f>
        <v>0.28262361472652786</v>
      </c>
      <c r="E10" s="3">
        <f t="shared" ref="E10:E18" si="2">C10-D10</f>
        <v>3.5845116643080988E-2</v>
      </c>
      <c r="F10" s="2">
        <f t="shared" ref="F10:F38" si="3">$B$3*B10^$B$4</f>
        <v>1.592343656848044</v>
      </c>
      <c r="G10" s="2">
        <f t="shared" ref="G10:G38" si="4">F10-C10</f>
        <v>1.2738749254784352</v>
      </c>
    </row>
    <row r="11" spans="1:7" x14ac:dyDescent="0.35">
      <c r="A11">
        <v>3</v>
      </c>
      <c r="B11" s="2">
        <f t="shared" ref="B11:B18" si="5">B10+E10</f>
        <v>4.07332532702205</v>
      </c>
      <c r="C11" s="2">
        <f t="shared" si="0"/>
        <v>0.3194084207397529</v>
      </c>
      <c r="D11" s="2">
        <f t="shared" si="1"/>
        <v>0.28513277289154354</v>
      </c>
      <c r="E11" s="3">
        <f t="shared" si="2"/>
        <v>3.4275647848209356E-2</v>
      </c>
      <c r="F11" s="2">
        <f t="shared" si="3"/>
        <v>1.5970421036987643</v>
      </c>
      <c r="G11" s="2">
        <f t="shared" si="4"/>
        <v>1.2776336829590114</v>
      </c>
    </row>
    <row r="12" spans="1:7" x14ac:dyDescent="0.35">
      <c r="A12">
        <v>4</v>
      </c>
      <c r="B12" s="2">
        <f t="shared" si="5"/>
        <v>4.1076009748702589</v>
      </c>
      <c r="C12" s="2">
        <f t="shared" si="0"/>
        <v>0.32030182393568779</v>
      </c>
      <c r="D12" s="2">
        <f t="shared" si="1"/>
        <v>0.28753206824091815</v>
      </c>
      <c r="E12" s="3">
        <f t="shared" si="2"/>
        <v>3.2769755694769642E-2</v>
      </c>
      <c r="F12" s="2">
        <f t="shared" si="3"/>
        <v>1.6015091196784388</v>
      </c>
      <c r="G12" s="2">
        <f t="shared" si="4"/>
        <v>1.2812072957427509</v>
      </c>
    </row>
    <row r="13" spans="1:7" x14ac:dyDescent="0.35">
      <c r="A13">
        <v>5</v>
      </c>
      <c r="B13" s="2">
        <f t="shared" si="5"/>
        <v>4.1403707305650288</v>
      </c>
      <c r="C13" s="2">
        <f t="shared" si="0"/>
        <v>0.32115134033990889</v>
      </c>
      <c r="D13" s="2">
        <f t="shared" si="1"/>
        <v>0.28982595113955206</v>
      </c>
      <c r="E13" s="3">
        <f t="shared" si="2"/>
        <v>3.1325389200356824E-2</v>
      </c>
      <c r="F13" s="2">
        <f t="shared" si="3"/>
        <v>1.6057567016995442</v>
      </c>
      <c r="G13" s="2">
        <f t="shared" si="4"/>
        <v>1.2846053613596353</v>
      </c>
    </row>
    <row r="14" spans="1:7" x14ac:dyDescent="0.35">
      <c r="A14">
        <v>6</v>
      </c>
      <c r="B14" s="2">
        <f t="shared" si="5"/>
        <v>4.1716961197653859</v>
      </c>
      <c r="C14" s="2">
        <f t="shared" si="0"/>
        <v>0.32195923301564755</v>
      </c>
      <c r="D14" s="2">
        <f t="shared" si="1"/>
        <v>0.29201872838357706</v>
      </c>
      <c r="E14" s="2">
        <f t="shared" si="2"/>
        <v>2.9940504632070486E-2</v>
      </c>
      <c r="F14" s="2">
        <f t="shared" si="3"/>
        <v>1.6097961650782378</v>
      </c>
      <c r="G14" s="2">
        <f t="shared" si="4"/>
        <v>1.2878369320625902</v>
      </c>
    </row>
    <row r="15" spans="1:7" x14ac:dyDescent="0.35">
      <c r="A15">
        <v>7</v>
      </c>
      <c r="B15" s="2">
        <f t="shared" si="5"/>
        <v>4.2016366243974561</v>
      </c>
      <c r="C15" s="2">
        <f t="shared" si="0"/>
        <v>0.32272763766205675</v>
      </c>
      <c r="D15" s="2">
        <f t="shared" si="1"/>
        <v>0.29411456370782196</v>
      </c>
      <c r="E15" s="2">
        <f t="shared" si="2"/>
        <v>2.8613073954234791E-2</v>
      </c>
      <c r="F15" s="2">
        <f t="shared" si="3"/>
        <v>1.6136381883102837</v>
      </c>
      <c r="G15" s="2">
        <f t="shared" si="4"/>
        <v>1.290910550648227</v>
      </c>
    </row>
    <row r="16" spans="1:7" x14ac:dyDescent="0.35">
      <c r="A16">
        <v>8</v>
      </c>
      <c r="B16" s="2">
        <f t="shared" si="5"/>
        <v>4.2302496983516908</v>
      </c>
      <c r="C16" s="2">
        <f t="shared" si="0"/>
        <v>0.32345857085812924</v>
      </c>
      <c r="D16" s="2">
        <f t="shared" si="1"/>
        <v>0.29611747888461837</v>
      </c>
      <c r="E16" s="2">
        <f t="shared" si="2"/>
        <v>2.7341091973510867E-2</v>
      </c>
      <c r="F16" s="2">
        <f t="shared" si="3"/>
        <v>1.6172928542906462</v>
      </c>
      <c r="G16" s="2">
        <f t="shared" si="4"/>
        <v>1.2938342834325169</v>
      </c>
    </row>
    <row r="17" spans="1:7" x14ac:dyDescent="0.35">
      <c r="A17">
        <v>9</v>
      </c>
      <c r="B17" s="2">
        <f t="shared" si="5"/>
        <v>4.2575907903252013</v>
      </c>
      <c r="C17" s="2">
        <f t="shared" si="0"/>
        <v>0.32415393766424527</v>
      </c>
      <c r="D17" s="2">
        <f t="shared" si="1"/>
        <v>0.29803135532276409</v>
      </c>
      <c r="E17" s="2">
        <f t="shared" si="2"/>
        <v>2.6122582341481182E-2</v>
      </c>
      <c r="F17" s="2">
        <f t="shared" si="3"/>
        <v>1.6207696883212264</v>
      </c>
      <c r="G17" s="2">
        <f t="shared" si="4"/>
        <v>1.2966157506569811</v>
      </c>
    </row>
    <row r="18" spans="1:7" x14ac:dyDescent="0.35">
      <c r="A18">
        <v>10</v>
      </c>
      <c r="B18" s="2">
        <f t="shared" si="5"/>
        <v>4.2837133726666821</v>
      </c>
      <c r="C18" s="2">
        <f t="shared" si="0"/>
        <v>0.32481553864230894</v>
      </c>
      <c r="D18" s="2">
        <f t="shared" si="1"/>
        <v>0.29985993608666778</v>
      </c>
      <c r="E18" s="2">
        <f t="shared" si="2"/>
        <v>2.4955602555641165E-2</v>
      </c>
      <c r="F18" s="2">
        <f t="shared" si="3"/>
        <v>1.6240776932115446</v>
      </c>
      <c r="G18" s="2">
        <f t="shared" si="4"/>
        <v>1.2992621545692358</v>
      </c>
    </row>
    <row r="19" spans="1:7" x14ac:dyDescent="0.35">
      <c r="A19">
        <v>11</v>
      </c>
      <c r="B19" s="2">
        <f t="shared" ref="B19:B29" si="6">B18+E18</f>
        <v>4.3086689752223233</v>
      </c>
      <c r="C19" s="2">
        <f t="shared" si="0"/>
        <v>0.32544507634854525</v>
      </c>
      <c r="D19" s="2">
        <f t="shared" ref="D19:D29" si="7">B19*$B$5</f>
        <v>0.30160682826556268</v>
      </c>
      <c r="E19" s="2">
        <f t="shared" ref="E19:E29" si="8">C19-D19</f>
        <v>2.3838248082982572E-2</v>
      </c>
      <c r="F19" s="2">
        <f t="shared" si="3"/>
        <v>1.627225381742726</v>
      </c>
      <c r="G19" s="2">
        <f t="shared" si="4"/>
        <v>1.3017803053941808</v>
      </c>
    </row>
    <row r="20" spans="1:7" x14ac:dyDescent="0.35">
      <c r="A20">
        <v>12</v>
      </c>
      <c r="B20" s="2">
        <f t="shared" si="6"/>
        <v>4.3325072233053055</v>
      </c>
      <c r="C20" s="2">
        <f t="shared" si="0"/>
        <v>0.326044161347043</v>
      </c>
      <c r="D20" s="2">
        <f t="shared" si="7"/>
        <v>0.3032755056313714</v>
      </c>
      <c r="E20" s="2">
        <f t="shared" si="8"/>
        <v>2.2768655715671604E-2</v>
      </c>
      <c r="F20" s="2">
        <f t="shared" si="3"/>
        <v>1.6302208067352149</v>
      </c>
      <c r="G20" s="2">
        <f t="shared" si="4"/>
        <v>1.3041766453881718</v>
      </c>
    </row>
    <row r="21" spans="1:7" x14ac:dyDescent="0.35">
      <c r="A21">
        <v>13</v>
      </c>
      <c r="B21" s="2">
        <f t="shared" si="6"/>
        <v>4.3552758790209767</v>
      </c>
      <c r="C21" s="2">
        <f t="shared" si="0"/>
        <v>0.32661431778690164</v>
      </c>
      <c r="D21" s="2">
        <f t="shared" si="7"/>
        <v>0.3048693115314684</v>
      </c>
      <c r="E21" s="2">
        <f t="shared" si="8"/>
        <v>2.1745006255433241E-2</v>
      </c>
      <c r="F21" s="2">
        <f t="shared" si="3"/>
        <v>1.6330715889345082</v>
      </c>
      <c r="G21" s="2">
        <f t="shared" si="4"/>
        <v>1.3064572711476066</v>
      </c>
    </row>
    <row r="22" spans="1:7" x14ac:dyDescent="0.35">
      <c r="A22">
        <v>14</v>
      </c>
      <c r="B22" s="2">
        <f t="shared" si="6"/>
        <v>4.3770208852764103</v>
      </c>
      <c r="C22" s="2">
        <f t="shared" si="0"/>
        <v>0.3271569885812729</v>
      </c>
      <c r="D22" s="2">
        <f t="shared" si="7"/>
        <v>0.30639146196934874</v>
      </c>
      <c r="E22" s="2">
        <f t="shared" si="8"/>
        <v>2.0765526611924157E-2</v>
      </c>
      <c r="F22" s="2">
        <f t="shared" si="3"/>
        <v>1.6357849429063644</v>
      </c>
      <c r="G22" s="2">
        <f t="shared" si="4"/>
        <v>1.3086279543250916</v>
      </c>
    </row>
    <row r="23" spans="1:7" x14ac:dyDescent="0.35">
      <c r="A23">
        <v>15</v>
      </c>
      <c r="B23" s="2">
        <f t="shared" si="6"/>
        <v>4.3977864118883341</v>
      </c>
      <c r="C23" s="2">
        <f t="shared" si="0"/>
        <v>0.32767354022257988</v>
      </c>
      <c r="D23" s="2">
        <f t="shared" si="7"/>
        <v>0.30784504883218339</v>
      </c>
      <c r="E23" s="2">
        <f t="shared" si="8"/>
        <v>1.9828491390396497E-2</v>
      </c>
      <c r="F23" s="2">
        <f t="shared" si="3"/>
        <v>1.6383677011128992</v>
      </c>
      <c r="G23" s="2">
        <f t="shared" si="4"/>
        <v>1.3106941608903193</v>
      </c>
    </row>
    <row r="24" spans="1:7" x14ac:dyDescent="0.35">
      <c r="A24">
        <v>16</v>
      </c>
      <c r="B24" s="2">
        <f t="shared" si="6"/>
        <v>4.4176149032787304</v>
      </c>
      <c r="C24" s="2">
        <f t="shared" si="0"/>
        <v>0.32816526726467732</v>
      </c>
      <c r="D24" s="2">
        <f t="shared" si="7"/>
        <v>0.30923304322951117</v>
      </c>
      <c r="E24" s="2">
        <f t="shared" si="8"/>
        <v>1.8932224035166145E-2</v>
      </c>
      <c r="F24" s="2">
        <f t="shared" si="3"/>
        <v>1.6408263363233866</v>
      </c>
      <c r="G24" s="2">
        <f t="shared" si="4"/>
        <v>1.3126610690587093</v>
      </c>
    </row>
    <row r="25" spans="1:7" x14ac:dyDescent="0.35">
      <c r="A25">
        <v>17</v>
      </c>
      <c r="B25" s="2">
        <f t="shared" si="6"/>
        <v>4.4365471273138963</v>
      </c>
      <c r="C25" s="2">
        <f t="shared" si="0"/>
        <v>0.3286333964996111</v>
      </c>
      <c r="D25" s="2">
        <f t="shared" si="7"/>
        <v>0.31055829891197279</v>
      </c>
      <c r="E25" s="2">
        <f t="shared" si="8"/>
        <v>1.8075097587638311E-2</v>
      </c>
      <c r="F25" s="2">
        <f t="shared" si="3"/>
        <v>1.6431669824980555</v>
      </c>
      <c r="G25" s="2">
        <f t="shared" si="4"/>
        <v>1.3145335859984444</v>
      </c>
    </row>
    <row r="26" spans="1:7" x14ac:dyDescent="0.35">
      <c r="A26">
        <v>18</v>
      </c>
      <c r="B26" s="2">
        <f t="shared" si="6"/>
        <v>4.4546222249015344</v>
      </c>
      <c r="C26" s="2">
        <f t="shared" si="0"/>
        <v>0.32907909085389742</v>
      </c>
      <c r="D26" s="2">
        <f t="shared" si="7"/>
        <v>0.31182355574310744</v>
      </c>
      <c r="E26" s="2">
        <f t="shared" si="8"/>
        <v>1.7255535110789977E-2</v>
      </c>
      <c r="F26" s="2">
        <f t="shared" si="3"/>
        <v>1.6453954542694869</v>
      </c>
      <c r="G26" s="2">
        <f t="shared" si="4"/>
        <v>1.3163163634155894</v>
      </c>
    </row>
    <row r="27" spans="1:7" x14ac:dyDescent="0.35">
      <c r="A27">
        <v>19</v>
      </c>
      <c r="B27" s="2">
        <f t="shared" si="6"/>
        <v>4.4718777600123243</v>
      </c>
      <c r="C27" s="2">
        <f t="shared" si="0"/>
        <v>0.32950345302681555</v>
      </c>
      <c r="D27" s="2">
        <f t="shared" si="7"/>
        <v>0.31303144320086274</v>
      </c>
      <c r="E27" s="2">
        <f t="shared" si="8"/>
        <v>1.6472009825952816E-2</v>
      </c>
      <c r="F27" s="2">
        <f t="shared" si="3"/>
        <v>1.6475172651340777</v>
      </c>
      <c r="G27" s="2">
        <f t="shared" si="4"/>
        <v>1.3180138121072622</v>
      </c>
    </row>
    <row r="28" spans="1:7" x14ac:dyDescent="0.35">
      <c r="A28">
        <v>20</v>
      </c>
      <c r="B28" s="2">
        <f t="shared" si="6"/>
        <v>4.488349769838277</v>
      </c>
      <c r="C28" s="2">
        <f t="shared" si="0"/>
        <v>0.32990752889105801</v>
      </c>
      <c r="D28" s="2">
        <f t="shared" si="7"/>
        <v>0.31418448388867942</v>
      </c>
      <c r="E28" s="2">
        <f t="shared" si="8"/>
        <v>1.5723045002378588E-2</v>
      </c>
      <c r="F28" s="2">
        <f t="shared" si="3"/>
        <v>1.6495376444552898</v>
      </c>
      <c r="G28" s="2">
        <f t="shared" si="4"/>
        <v>1.3196301155642318</v>
      </c>
    </row>
    <row r="29" spans="1:7" x14ac:dyDescent="0.35">
      <c r="A29">
        <v>21</v>
      </c>
      <c r="B29" s="2">
        <f t="shared" si="6"/>
        <v>4.5040728148406552</v>
      </c>
      <c r="C29" s="2">
        <f t="shared" si="0"/>
        <v>0.33029231067416842</v>
      </c>
      <c r="D29" s="2">
        <f t="shared" si="7"/>
        <v>0.31528509703884589</v>
      </c>
      <c r="E29" s="2">
        <f t="shared" si="8"/>
        <v>1.5007213635322536E-2</v>
      </c>
      <c r="F29" s="2">
        <f t="shared" si="3"/>
        <v>1.6514615533708421</v>
      </c>
      <c r="G29" s="2">
        <f t="shared" si="4"/>
        <v>1.3211692426966737</v>
      </c>
    </row>
    <row r="30" spans="1:7" x14ac:dyDescent="0.35">
      <c r="A30">
        <v>22</v>
      </c>
      <c r="B30" s="2">
        <f t="shared" ref="B30:B38" si="9">B29+E29</f>
        <v>4.5190800284759778</v>
      </c>
      <c r="C30" s="2">
        <f t="shared" si="0"/>
        <v>0.33065873993749678</v>
      </c>
      <c r="D30" s="2">
        <f t="shared" ref="D30:D38" si="10">B30*$B$5</f>
        <v>0.31633560199331845</v>
      </c>
      <c r="E30" s="2">
        <f t="shared" ref="E30:E38" si="11">C30-D30</f>
        <v>1.4323137944178332E-2</v>
      </c>
      <c r="F30" s="2">
        <f t="shared" si="3"/>
        <v>1.6532936996874839</v>
      </c>
      <c r="G30" s="2">
        <f t="shared" si="4"/>
        <v>1.3226349597499871</v>
      </c>
    </row>
    <row r="31" spans="1:7" x14ac:dyDescent="0.35">
      <c r="A31">
        <v>23</v>
      </c>
      <c r="B31" s="2">
        <f t="shared" si="9"/>
        <v>4.5334031664201557</v>
      </c>
      <c r="C31" s="2">
        <f t="shared" si="0"/>
        <v>0.33100771036787874</v>
      </c>
      <c r="D31" s="2">
        <f t="shared" si="10"/>
        <v>0.31733822164941095</v>
      </c>
      <c r="E31" s="2">
        <f t="shared" si="11"/>
        <v>1.3669488718467793E-2</v>
      </c>
      <c r="F31" s="2">
        <f t="shared" si="3"/>
        <v>1.6550385518393935</v>
      </c>
      <c r="G31" s="2">
        <f t="shared" si="4"/>
        <v>1.3240308414715147</v>
      </c>
    </row>
    <row r="32" spans="1:7" x14ac:dyDescent="0.35">
      <c r="A32">
        <v>24</v>
      </c>
      <c r="B32" s="2">
        <f t="shared" si="9"/>
        <v>4.5470726551386234</v>
      </c>
      <c r="C32" s="2">
        <f t="shared" si="0"/>
        <v>0.33134007039589014</v>
      </c>
      <c r="D32" s="2">
        <f t="shared" si="10"/>
        <v>0.31829508585970367</v>
      </c>
      <c r="E32" s="2">
        <f t="shared" si="11"/>
        <v>1.3044984536186466E-2</v>
      </c>
      <c r="F32" s="2">
        <f t="shared" si="3"/>
        <v>1.6567003519794505</v>
      </c>
      <c r="G32" s="2">
        <f t="shared" si="4"/>
        <v>1.3253602815835603</v>
      </c>
    </row>
    <row r="33" spans="1:7" x14ac:dyDescent="0.35">
      <c r="A33">
        <v>25</v>
      </c>
      <c r="B33" s="2">
        <f t="shared" si="9"/>
        <v>4.56011763967481</v>
      </c>
      <c r="C33" s="2">
        <f t="shared" si="0"/>
        <v>0.33165662565330822</v>
      </c>
      <c r="D33" s="2">
        <f t="shared" si="10"/>
        <v>0.31920823477723675</v>
      </c>
      <c r="E33" s="2">
        <f t="shared" si="11"/>
        <v>1.2448390876071469E-2</v>
      </c>
      <c r="F33" s="2">
        <f t="shared" si="3"/>
        <v>1.6582831282665409</v>
      </c>
      <c r="G33" s="2">
        <f t="shared" si="4"/>
        <v>1.3266265026132327</v>
      </c>
    </row>
    <row r="34" spans="1:7" x14ac:dyDescent="0.35">
      <c r="A34">
        <v>26</v>
      </c>
      <c r="B34" s="2">
        <f t="shared" si="9"/>
        <v>4.5725660305508811</v>
      </c>
      <c r="C34" s="2">
        <f t="shared" si="0"/>
        <v>0.33195814128131856</v>
      </c>
      <c r="D34" s="2">
        <f t="shared" si="10"/>
        <v>0.32007962213856173</v>
      </c>
      <c r="E34" s="2">
        <f t="shared" si="11"/>
        <v>1.1878519142756838E-2</v>
      </c>
      <c r="F34" s="2">
        <f t="shared" si="3"/>
        <v>1.6597907064065927</v>
      </c>
      <c r="G34" s="2">
        <f t="shared" si="4"/>
        <v>1.327832565125274</v>
      </c>
    </row>
    <row r="35" spans="1:7" x14ac:dyDescent="0.35">
      <c r="A35">
        <v>27</v>
      </c>
      <c r="B35" s="2">
        <f t="shared" si="9"/>
        <v>4.5844445496936377</v>
      </c>
      <c r="C35" s="2">
        <f t="shared" si="0"/>
        <v>0.33224534410002643</v>
      </c>
      <c r="D35" s="2">
        <f t="shared" si="10"/>
        <v>0.32091111847855469</v>
      </c>
      <c r="E35" s="2">
        <f t="shared" si="11"/>
        <v>1.1334225621471739E-2</v>
      </c>
      <c r="F35" s="2">
        <f t="shared" si="3"/>
        <v>1.6612267205001321</v>
      </c>
      <c r="G35" s="2">
        <f t="shared" si="4"/>
        <v>1.3289813764001057</v>
      </c>
    </row>
    <row r="36" spans="1:7" x14ac:dyDescent="0.35">
      <c r="A36">
        <v>28</v>
      </c>
      <c r="B36" s="2">
        <f t="shared" si="9"/>
        <v>4.5957787753151091</v>
      </c>
      <c r="C36" s="2">
        <f t="shared" si="0"/>
        <v>0.332518924648945</v>
      </c>
      <c r="D36" s="2">
        <f t="shared" si="10"/>
        <v>0.32170451427205765</v>
      </c>
      <c r="E36" s="2">
        <f t="shared" si="11"/>
        <v>1.0814410376887351E-2</v>
      </c>
      <c r="F36" s="2">
        <f t="shared" si="3"/>
        <v>1.6625946232447248</v>
      </c>
      <c r="G36" s="2">
        <f t="shared" si="4"/>
        <v>1.3300756985957798</v>
      </c>
    </row>
    <row r="37" spans="1:7" x14ac:dyDescent="0.35">
      <c r="A37">
        <v>29</v>
      </c>
      <c r="B37" s="2">
        <f t="shared" si="9"/>
        <v>4.6065931856919962</v>
      </c>
      <c r="C37" s="2">
        <f t="shared" si="0"/>
        <v>0.33277953910733449</v>
      </c>
      <c r="D37" s="2">
        <f t="shared" si="10"/>
        <v>0.32246152299843978</v>
      </c>
      <c r="E37" s="2">
        <f t="shared" si="11"/>
        <v>1.0318016108894712E-2</v>
      </c>
      <c r="F37" s="2">
        <f t="shared" si="3"/>
        <v>1.6638976955366722</v>
      </c>
      <c r="G37" s="2">
        <f t="shared" si="4"/>
        <v>1.3311181564293377</v>
      </c>
    </row>
    <row r="38" spans="1:7" x14ac:dyDescent="0.35">
      <c r="A38">
        <v>30</v>
      </c>
      <c r="B38" s="2">
        <f t="shared" si="9"/>
        <v>4.6169112018008907</v>
      </c>
      <c r="C38" s="2">
        <f t="shared" si="0"/>
        <v>0.33302781110254864</v>
      </c>
      <c r="D38" s="2">
        <f t="shared" si="10"/>
        <v>0.32318378412606236</v>
      </c>
      <c r="E38" s="2">
        <f t="shared" si="11"/>
        <v>9.8440269764862864E-3</v>
      </c>
      <c r="F38" s="2">
        <f t="shared" si="3"/>
        <v>1.6651390555127432</v>
      </c>
      <c r="G38" s="2">
        <f t="shared" si="4"/>
        <v>1.3321112444101946</v>
      </c>
    </row>
    <row r="39" spans="1:7" x14ac:dyDescent="0.35">
      <c r="A39">
        <v>31</v>
      </c>
      <c r="B39" s="2">
        <f t="shared" ref="B39:B48" si="12">B38+E38</f>
        <v>4.6267552287773768</v>
      </c>
      <c r="C39" s="2">
        <f t="shared" ref="C39:C48" si="13">$B$3*$B$2*B39 ^$B$4</f>
        <v>0.33326433341388806</v>
      </c>
      <c r="D39" s="2">
        <f t="shared" ref="D39:D48" si="14">B39*$B$5</f>
        <v>0.32387286601441639</v>
      </c>
      <c r="E39" s="2">
        <f t="shared" ref="E39:E48" si="15">C39-D39</f>
        <v>9.3914673994716646E-3</v>
      </c>
      <c r="F39" s="2">
        <f t="shared" ref="F39:F48" si="16">$B$3*B39^$B$4</f>
        <v>1.6663216670694403</v>
      </c>
      <c r="G39" s="2">
        <f t="shared" ref="G39:G48" si="17">F39-C39</f>
        <v>1.3330573336555522</v>
      </c>
    </row>
    <row r="40" spans="1:7" x14ac:dyDescent="0.35">
      <c r="A40">
        <v>32</v>
      </c>
      <c r="B40" s="2">
        <f t="shared" si="12"/>
        <v>4.6361466961768487</v>
      </c>
      <c r="C40" s="2">
        <f t="shared" si="13"/>
        <v>0.33348966957887138</v>
      </c>
      <c r="D40" s="2">
        <f t="shared" si="14"/>
        <v>0.32453026873237945</v>
      </c>
      <c r="E40" s="2">
        <f t="shared" si="15"/>
        <v>8.9594008464919384E-3</v>
      </c>
      <c r="F40" s="2">
        <f t="shared" si="16"/>
        <v>1.6674483478943569</v>
      </c>
      <c r="G40" s="2">
        <f t="shared" si="17"/>
        <v>1.3339586783154855</v>
      </c>
    </row>
    <row r="41" spans="1:7" x14ac:dyDescent="0.35">
      <c r="A41">
        <v>33</v>
      </c>
      <c r="B41" s="2">
        <f t="shared" si="12"/>
        <v>4.6451060970233407</v>
      </c>
      <c r="C41" s="2">
        <f t="shared" si="13"/>
        <v>0.33370435540829868</v>
      </c>
      <c r="D41" s="2">
        <f t="shared" si="14"/>
        <v>0.3251574267916339</v>
      </c>
      <c r="E41" s="2">
        <f t="shared" si="15"/>
        <v>8.546928616664784E-3</v>
      </c>
      <c r="F41" s="2">
        <f t="shared" si="16"/>
        <v>1.6685217770414933</v>
      </c>
      <c r="G41" s="2">
        <f t="shared" si="17"/>
        <v>1.3348174216331947</v>
      </c>
    </row>
    <row r="42" spans="1:7" x14ac:dyDescent="0.35">
      <c r="A42">
        <v>34</v>
      </c>
      <c r="B42" s="2">
        <f t="shared" si="12"/>
        <v>4.653653025640005</v>
      </c>
      <c r="C42" s="2">
        <f t="shared" si="13"/>
        <v>0.33390890041599153</v>
      </c>
      <c r="D42" s="2">
        <f t="shared" si="14"/>
        <v>0.3257557117948004</v>
      </c>
      <c r="E42" s="2">
        <f t="shared" si="15"/>
        <v>8.153188621191132E-3</v>
      </c>
      <c r="F42" s="2">
        <f t="shared" si="16"/>
        <v>1.6695445020799575</v>
      </c>
      <c r="G42" s="2">
        <f t="shared" si="17"/>
        <v>1.3356356016639661</v>
      </c>
    </row>
    <row r="43" spans="1:7" x14ac:dyDescent="0.35">
      <c r="A43">
        <v>35</v>
      </c>
      <c r="B43" s="2">
        <f t="shared" si="12"/>
        <v>4.6618062142611958</v>
      </c>
      <c r="C43" s="2">
        <f t="shared" si="13"/>
        <v>0.33410378916865224</v>
      </c>
      <c r="D43" s="2">
        <f t="shared" si="14"/>
        <v>0.32632643499828373</v>
      </c>
      <c r="E43" s="2">
        <f t="shared" si="15"/>
        <v>7.7773541703685112E-3</v>
      </c>
      <c r="F43" s="2">
        <f t="shared" si="16"/>
        <v>1.670518945843261</v>
      </c>
      <c r="G43" s="2">
        <f t="shared" si="17"/>
        <v>1.3364151566746088</v>
      </c>
    </row>
    <row r="44" spans="1:7" x14ac:dyDescent="0.35">
      <c r="A44">
        <v>36</v>
      </c>
      <c r="B44" s="2">
        <f t="shared" si="12"/>
        <v>4.6695835684315643</v>
      </c>
      <c r="C44" s="2">
        <f t="shared" si="13"/>
        <v>0.33428948256087693</v>
      </c>
      <c r="D44" s="2">
        <f t="shared" si="14"/>
        <v>0.32687084979020953</v>
      </c>
      <c r="E44" s="2">
        <f t="shared" si="15"/>
        <v>7.4186327706673993E-3</v>
      </c>
      <c r="F44" s="2">
        <f t="shared" si="16"/>
        <v>1.6714474128043846</v>
      </c>
      <c r="G44" s="2">
        <f t="shared" si="17"/>
        <v>1.3371579302435077</v>
      </c>
    </row>
    <row r="45" spans="1:7" x14ac:dyDescent="0.35">
      <c r="A45">
        <v>37</v>
      </c>
      <c r="B45" s="2">
        <f t="shared" si="12"/>
        <v>4.6770022012022316</v>
      </c>
      <c r="C45" s="2">
        <f t="shared" si="13"/>
        <v>0.33446641901999091</v>
      </c>
      <c r="D45" s="2">
        <f t="shared" si="14"/>
        <v>0.32739015408415623</v>
      </c>
      <c r="E45" s="2">
        <f t="shared" si="15"/>
        <v>7.0762649358346863E-3</v>
      </c>
      <c r="F45" s="2">
        <f t="shared" si="16"/>
        <v>1.6723320950999545</v>
      </c>
      <c r="G45" s="2">
        <f t="shared" si="17"/>
        <v>1.3378656760799637</v>
      </c>
    </row>
    <row r="46" spans="1:7" x14ac:dyDescent="0.35">
      <c r="A46">
        <v>38</v>
      </c>
      <c r="B46" s="2">
        <f t="shared" si="12"/>
        <v>4.6840784661380663</v>
      </c>
      <c r="C46" s="2">
        <f t="shared" si="13"/>
        <v>0.33463501564503373</v>
      </c>
      <c r="D46" s="2">
        <f t="shared" si="14"/>
        <v>0.32788549262966465</v>
      </c>
      <c r="E46" s="2">
        <f t="shared" si="15"/>
        <v>6.7495230153690744E-3</v>
      </c>
      <c r="F46" s="2">
        <f t="shared" si="16"/>
        <v>1.6731750782251686</v>
      </c>
      <c r="G46" s="2">
        <f t="shared" si="17"/>
        <v>1.3385400625801349</v>
      </c>
    </row>
    <row r="47" spans="1:7" x14ac:dyDescent="0.35">
      <c r="A47">
        <v>39</v>
      </c>
      <c r="B47" s="2">
        <f t="shared" si="12"/>
        <v>4.6908279891534352</v>
      </c>
      <c r="C47" s="2">
        <f t="shared" si="13"/>
        <v>0.33479566928391358</v>
      </c>
      <c r="D47" s="2">
        <f t="shared" si="14"/>
        <v>0.32835795924074052</v>
      </c>
      <c r="E47" s="2">
        <f t="shared" si="15"/>
        <v>6.4377100431730616E-3</v>
      </c>
      <c r="F47" s="2">
        <f t="shared" si="16"/>
        <v>1.6739783464195679</v>
      </c>
      <c r="G47" s="2">
        <f t="shared" si="17"/>
        <v>1.3391826771356543</v>
      </c>
    </row>
    <row r="48" spans="1:7" x14ac:dyDescent="0.35">
      <c r="A48">
        <v>40</v>
      </c>
      <c r="B48" s="2">
        <f t="shared" si="12"/>
        <v>4.697265699196608</v>
      </c>
      <c r="C48" s="2">
        <f t="shared" si="13"/>
        <v>0.33494875755246684</v>
      </c>
      <c r="D48" s="2">
        <f t="shared" si="14"/>
        <v>0.32880859894376258</v>
      </c>
      <c r="E48" s="2">
        <f t="shared" si="15"/>
        <v>6.1401586087042603E-3</v>
      </c>
      <c r="F48" s="2">
        <f t="shared" si="16"/>
        <v>1.6747437877623341</v>
      </c>
      <c r="G48" s="2">
        <f t="shared" si="17"/>
        <v>1.3397950302098673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Yip</dc:creator>
  <cp:lastModifiedBy>Terry Yip</cp:lastModifiedBy>
  <dcterms:created xsi:type="dcterms:W3CDTF">2024-10-09T17:28:50Z</dcterms:created>
  <dcterms:modified xsi:type="dcterms:W3CDTF">2024-11-14T04:13:17Z</dcterms:modified>
</cp:coreProperties>
</file>