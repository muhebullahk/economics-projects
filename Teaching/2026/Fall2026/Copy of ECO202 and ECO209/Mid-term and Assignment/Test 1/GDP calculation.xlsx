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utoronto-my.sharepoint.com/personal/terry_yip_utoronto_ca/Documents/Teaching/University of Toronto/202409/ECO209/Mid-term and Assignment/Test 1/"/>
    </mc:Choice>
  </mc:AlternateContent>
  <xr:revisionPtr revIDLastSave="311" documentId="11_F25DC773A252ABDACC1048F9C95A5C705ADE58E6" xr6:coauthVersionLast="47" xr6:coauthVersionMax="47" xr10:uidLastSave="{39141F6D-2A0C-4A75-8FD5-844F14F3D6E6}"/>
  <bookViews>
    <workbookView xWindow="-110" yWindow="-110" windowWidth="38620" windowHeight="21100" activeTab="1" xr2:uid="{00000000-000D-0000-FFFF-FFFF00000000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1" i="1" l="1"/>
  <c r="R10" i="1"/>
  <c r="R9" i="1"/>
  <c r="M9" i="1"/>
  <c r="M10" i="1"/>
  <c r="L10" i="1"/>
  <c r="L9" i="1"/>
  <c r="N9" i="1"/>
  <c r="N10" i="1"/>
  <c r="M11" i="1"/>
  <c r="N11" i="1"/>
  <c r="L11" i="1"/>
  <c r="M8" i="3"/>
  <c r="M7" i="3"/>
  <c r="L8" i="3"/>
  <c r="L7" i="3"/>
  <c r="C6" i="3"/>
  <c r="C7" i="3" s="1"/>
  <c r="B7" i="3"/>
  <c r="E7" i="3" l="1"/>
  <c r="B20" i="1"/>
  <c r="C20" i="1"/>
  <c r="B21" i="1"/>
  <c r="C21" i="1"/>
  <c r="C19" i="1"/>
  <c r="C14" i="1"/>
  <c r="B19" i="1"/>
  <c r="B15" i="1"/>
  <c r="C15" i="1"/>
  <c r="H10" i="1" s="1"/>
  <c r="B16" i="1"/>
  <c r="C16" i="1"/>
  <c r="H14" i="1" s="1"/>
  <c r="B14" i="1"/>
  <c r="C11" i="1"/>
  <c r="C10" i="1"/>
  <c r="H9" i="1" s="1"/>
  <c r="C9" i="1"/>
  <c r="B10" i="1"/>
  <c r="D10" i="1" s="1"/>
  <c r="B11" i="1"/>
  <c r="D11" i="1" s="1"/>
  <c r="B9" i="1"/>
  <c r="H15" i="1" l="1"/>
  <c r="H16" i="1"/>
  <c r="D19" i="1"/>
  <c r="D20" i="1"/>
  <c r="H11" i="1"/>
  <c r="D16" i="1"/>
  <c r="D15" i="1"/>
  <c r="D14" i="1"/>
  <c r="G15" i="1"/>
  <c r="I10" i="1"/>
  <c r="D21" i="1"/>
  <c r="I14" i="1"/>
  <c r="G10" i="1"/>
  <c r="G14" i="1"/>
  <c r="G16" i="1" s="1"/>
  <c r="P9" i="1"/>
  <c r="D9" i="1"/>
  <c r="G9" i="1"/>
  <c r="I15" i="1" l="1"/>
  <c r="I16" i="1"/>
  <c r="G11" i="1"/>
  <c r="I9" i="1"/>
  <c r="I11" i="1" s="1"/>
  <c r="P11" i="1" l="1"/>
  <c r="P10" i="1"/>
</calcChain>
</file>

<file path=xl/sharedStrings.xml><?xml version="1.0" encoding="utf-8"?>
<sst xmlns="http://schemas.openxmlformats.org/spreadsheetml/2006/main" count="51" uniqueCount="31">
  <si>
    <t>PC1</t>
  </si>
  <si>
    <t>QC1</t>
  </si>
  <si>
    <t>PC2</t>
  </si>
  <si>
    <t>QC2</t>
  </si>
  <si>
    <t>PI1</t>
  </si>
  <si>
    <t>QI1</t>
  </si>
  <si>
    <t>PI2</t>
  </si>
  <si>
    <t>QI2</t>
  </si>
  <si>
    <t>2020 Price</t>
  </si>
  <si>
    <t>C</t>
  </si>
  <si>
    <t>I</t>
  </si>
  <si>
    <t>Y</t>
  </si>
  <si>
    <t>2021 Price</t>
  </si>
  <si>
    <t>2022 Price</t>
  </si>
  <si>
    <t>2020 to 2021</t>
  </si>
  <si>
    <t>Laspeyres</t>
  </si>
  <si>
    <t>Paasche</t>
  </si>
  <si>
    <t>Fisher</t>
  </si>
  <si>
    <t>2021to 2022</t>
  </si>
  <si>
    <t>Country</t>
  </si>
  <si>
    <t>Ikkousha</t>
  </si>
  <si>
    <t>Ichiran</t>
  </si>
  <si>
    <t>Observed k</t>
  </si>
  <si>
    <t>Observed y</t>
  </si>
  <si>
    <t>Observed m</t>
  </si>
  <si>
    <t>A</t>
  </si>
  <si>
    <t>y</t>
  </si>
  <si>
    <t>k</t>
  </si>
  <si>
    <t>m</t>
  </si>
  <si>
    <t>Benchmark = 2022</t>
  </si>
  <si>
    <t>Deflator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</si>
</sst>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7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/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21"/>
  <sheetViews>
    <sheetView workbookViewId="0">
      <selection activeCell="P9" sqref="P9"/>
    </sheetView>
  </sheetViews>
  <sheetFormatPr defaultRowHeight="14.5" x14ac:dyDescent="0.35"/>
  <cols>
    <col min="1" max="1" width="9.26953125" bestFit="1" customWidth="1"/>
    <col min="16" max="16" width="9.36328125" bestFit="1" customWidth="1"/>
  </cols>
  <sheetData>
    <row r="2" spans="1:18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</row>
    <row r="3" spans="1:18" x14ac:dyDescent="0.35">
      <c r="A3">
        <v>2020</v>
      </c>
      <c r="B3">
        <v>90</v>
      </c>
      <c r="C3">
        <v>80</v>
      </c>
      <c r="D3">
        <v>12</v>
      </c>
      <c r="E3">
        <v>40</v>
      </c>
      <c r="F3">
        <v>20</v>
      </c>
      <c r="G3">
        <v>10</v>
      </c>
      <c r="H3">
        <v>110</v>
      </c>
      <c r="I3">
        <v>14</v>
      </c>
    </row>
    <row r="4" spans="1:18" x14ac:dyDescent="0.35">
      <c r="A4">
        <v>2021</v>
      </c>
      <c r="B4">
        <v>95</v>
      </c>
      <c r="C4">
        <v>160</v>
      </c>
      <c r="D4">
        <v>14</v>
      </c>
      <c r="E4">
        <v>45</v>
      </c>
      <c r="F4">
        <v>22</v>
      </c>
      <c r="G4">
        <v>11</v>
      </c>
      <c r="H4">
        <v>112</v>
      </c>
      <c r="I4">
        <v>15</v>
      </c>
    </row>
    <row r="5" spans="1:18" x14ac:dyDescent="0.35">
      <c r="A5">
        <v>2022</v>
      </c>
      <c r="B5">
        <v>100</v>
      </c>
      <c r="C5">
        <v>280</v>
      </c>
      <c r="D5">
        <v>30</v>
      </c>
      <c r="E5">
        <v>45</v>
      </c>
      <c r="F5">
        <v>24</v>
      </c>
      <c r="G5">
        <v>14</v>
      </c>
      <c r="H5">
        <v>115</v>
      </c>
      <c r="I5">
        <v>16</v>
      </c>
    </row>
    <row r="6" spans="1:18" x14ac:dyDescent="0.35">
      <c r="R6" t="s">
        <v>30</v>
      </c>
    </row>
    <row r="7" spans="1:18" x14ac:dyDescent="0.35">
      <c r="K7" s="1" t="s">
        <v>29</v>
      </c>
      <c r="L7" s="2"/>
      <c r="M7" s="2"/>
      <c r="N7" s="2"/>
    </row>
    <row r="8" spans="1:18" x14ac:dyDescent="0.35">
      <c r="A8" s="1" t="s">
        <v>8</v>
      </c>
      <c r="B8" s="2" t="s">
        <v>9</v>
      </c>
      <c r="C8" s="2" t="s">
        <v>10</v>
      </c>
      <c r="D8" s="2" t="s">
        <v>11</v>
      </c>
      <c r="F8" s="1" t="s">
        <v>14</v>
      </c>
      <c r="G8" s="2" t="s">
        <v>9</v>
      </c>
      <c r="H8" s="2" t="s">
        <v>10</v>
      </c>
      <c r="I8" s="2" t="s">
        <v>11</v>
      </c>
      <c r="K8" s="1"/>
      <c r="L8" s="2" t="s">
        <v>9</v>
      </c>
      <c r="M8" s="2" t="s">
        <v>10</v>
      </c>
      <c r="N8" s="2" t="s">
        <v>11</v>
      </c>
      <c r="R8" t="s">
        <v>17</v>
      </c>
    </row>
    <row r="9" spans="1:18" x14ac:dyDescent="0.35">
      <c r="A9" s="1">
        <v>2020</v>
      </c>
      <c r="B9" s="2">
        <f>B$3*C3+D$3*E3</f>
        <v>7680</v>
      </c>
      <c r="C9" s="2">
        <f>F$3*G3+H$3*I3</f>
        <v>1740</v>
      </c>
      <c r="D9" s="2">
        <f>B9+C9</f>
        <v>9420</v>
      </c>
      <c r="F9" s="1" t="s">
        <v>15</v>
      </c>
      <c r="G9" s="3">
        <f>B10/B9</f>
        <v>1.9453125</v>
      </c>
      <c r="H9" s="3">
        <f>C10/C9</f>
        <v>1.0747126436781609</v>
      </c>
      <c r="I9" s="3">
        <f>D10/D9</f>
        <v>1.7845010615711252</v>
      </c>
      <c r="K9" s="1">
        <v>2020</v>
      </c>
      <c r="L9" s="5">
        <f>L10/G11</f>
        <v>8856.8718789185532</v>
      </c>
      <c r="M9" s="5">
        <f>M10/H11</f>
        <v>1851.7176570844813</v>
      </c>
      <c r="N9" s="5">
        <f t="shared" ref="M9:N9" si="0">N10/I11</f>
        <v>10764.773437196023</v>
      </c>
      <c r="P9" s="4">
        <f>L9+M9</f>
        <v>10708.589536003034</v>
      </c>
      <c r="R9" s="10">
        <f>D9/N9*100</f>
        <v>87.507647559498423</v>
      </c>
    </row>
    <row r="10" spans="1:18" x14ac:dyDescent="0.35">
      <c r="A10" s="1">
        <v>2021</v>
      </c>
      <c r="B10" s="2">
        <f t="shared" ref="B10:B11" si="1">B$3*C4+D$3*E4</f>
        <v>14940</v>
      </c>
      <c r="C10" s="2">
        <f>F$3*G4+H$3*I4</f>
        <v>1870</v>
      </c>
      <c r="D10" s="2">
        <f t="shared" ref="D10:D11" si="2">B10+C10</f>
        <v>16810</v>
      </c>
      <c r="F10" s="1" t="s">
        <v>16</v>
      </c>
      <c r="G10" s="3">
        <f>B15/B14</f>
        <v>1.9399509803921569</v>
      </c>
      <c r="H10" s="3">
        <f>C15/C14</f>
        <v>1.0749440715883669</v>
      </c>
      <c r="I10" s="3">
        <f>D15/D14</f>
        <v>1.7844792923200643</v>
      </c>
      <c r="K10" s="1">
        <v>2021</v>
      </c>
      <c r="L10" s="5">
        <f>L11/G16</f>
        <v>17205.624048498619</v>
      </c>
      <c r="M10" s="5">
        <f>M11/H16</f>
        <v>1990.2786366307032</v>
      </c>
      <c r="N10" s="5">
        <f t="shared" ref="M10:N10" si="3">N11/I16</f>
        <v>19209.632455363822</v>
      </c>
      <c r="P10" s="4">
        <f>L10+M10</f>
        <v>19195.902685129324</v>
      </c>
      <c r="R10" s="10">
        <f>D15/N10*100</f>
        <v>92.411971136091083</v>
      </c>
    </row>
    <row r="11" spans="1:18" x14ac:dyDescent="0.35">
      <c r="A11" s="1">
        <v>2022</v>
      </c>
      <c r="B11" s="2">
        <f t="shared" si="1"/>
        <v>25740</v>
      </c>
      <c r="C11" s="2">
        <f>F$3*G5+H$3*I5</f>
        <v>2040</v>
      </c>
      <c r="D11" s="2">
        <f t="shared" si="2"/>
        <v>27780</v>
      </c>
      <c r="F11" s="1" t="s">
        <v>17</v>
      </c>
      <c r="G11" s="3">
        <f>SQRT(G10*G9)</f>
        <v>1.9426298905206101</v>
      </c>
      <c r="H11" s="3">
        <f>SQRT(H10*H9)</f>
        <v>1.074828351404493</v>
      </c>
      <c r="I11" s="3">
        <f>SQRT(I10*I9)</f>
        <v>1.7844901769123989</v>
      </c>
      <c r="K11" s="1">
        <v>2022</v>
      </c>
      <c r="L11" s="5">
        <f>B21</f>
        <v>29350</v>
      </c>
      <c r="M11" s="5">
        <f t="shared" ref="M11:N11" si="4">C21</f>
        <v>2176</v>
      </c>
      <c r="N11" s="5">
        <f t="shared" si="4"/>
        <v>31526</v>
      </c>
      <c r="P11" s="4">
        <f>L11+M11</f>
        <v>31526</v>
      </c>
      <c r="R11" s="10">
        <f>D21/N11*100</f>
        <v>100</v>
      </c>
    </row>
    <row r="12" spans="1:18" x14ac:dyDescent="0.35">
      <c r="A12" s="1"/>
      <c r="B12" s="2"/>
      <c r="C12" s="2"/>
      <c r="D12" s="2"/>
      <c r="F12" s="1"/>
      <c r="G12" s="2"/>
      <c r="H12" s="2"/>
      <c r="I12" s="2"/>
      <c r="K12" s="1"/>
    </row>
    <row r="13" spans="1:18" x14ac:dyDescent="0.35">
      <c r="A13" s="1" t="s">
        <v>12</v>
      </c>
      <c r="B13" s="2" t="s">
        <v>9</v>
      </c>
      <c r="C13" s="2" t="s">
        <v>10</v>
      </c>
      <c r="D13" s="2" t="s">
        <v>11</v>
      </c>
      <c r="F13" s="1" t="s">
        <v>18</v>
      </c>
      <c r="G13" s="2" t="s">
        <v>9</v>
      </c>
      <c r="H13" s="2" t="s">
        <v>10</v>
      </c>
      <c r="I13" s="2" t="s">
        <v>11</v>
      </c>
      <c r="K13" s="1"/>
    </row>
    <row r="14" spans="1:18" x14ac:dyDescent="0.35">
      <c r="A14" s="1">
        <v>2020</v>
      </c>
      <c r="B14" s="2">
        <f>B$4*C3+D$4*E3</f>
        <v>8160</v>
      </c>
      <c r="C14" s="2">
        <f>F$4*G3+H$4*I3</f>
        <v>1788</v>
      </c>
      <c r="D14" s="2">
        <f>B14+C14</f>
        <v>9948</v>
      </c>
      <c r="F14" s="1" t="s">
        <v>15</v>
      </c>
      <c r="G14" s="3">
        <f>B16/B15</f>
        <v>1.7201516108654453</v>
      </c>
      <c r="H14" s="3">
        <f>C16/C15</f>
        <v>1.0926118626430801</v>
      </c>
      <c r="I14" s="3">
        <f>D16/D15</f>
        <v>1.6522082018927444</v>
      </c>
      <c r="K14" s="1"/>
    </row>
    <row r="15" spans="1:18" x14ac:dyDescent="0.35">
      <c r="A15" s="1">
        <v>2021</v>
      </c>
      <c r="B15" s="2">
        <f t="shared" ref="B15:B16" si="5">B$4*C4+D$4*E4</f>
        <v>15830</v>
      </c>
      <c r="C15" s="2">
        <f t="shared" ref="C15:C16" si="6">F$4*G4+H$4*I4</f>
        <v>1922</v>
      </c>
      <c r="D15" s="2">
        <f t="shared" ref="D15:D16" si="7">B15+C15</f>
        <v>17752</v>
      </c>
      <c r="F15" s="1" t="s">
        <v>16</v>
      </c>
      <c r="G15" s="3">
        <f>B21/B20</f>
        <v>1.6916426512968299</v>
      </c>
      <c r="H15" s="3">
        <f>C21/C20</f>
        <v>1.0940170940170941</v>
      </c>
      <c r="I15" s="3">
        <f>D21/D20</f>
        <v>1.630177361807746</v>
      </c>
      <c r="K15" s="1"/>
    </row>
    <row r="16" spans="1:18" x14ac:dyDescent="0.35">
      <c r="A16" s="1">
        <v>2022</v>
      </c>
      <c r="B16" s="2">
        <f t="shared" si="5"/>
        <v>27230</v>
      </c>
      <c r="C16" s="2">
        <f t="shared" si="6"/>
        <v>2100</v>
      </c>
      <c r="D16" s="2">
        <f t="shared" si="7"/>
        <v>29330</v>
      </c>
      <c r="F16" s="1" t="s">
        <v>17</v>
      </c>
      <c r="G16" s="3">
        <f>SQRT(G15*G14)</f>
        <v>1.7058375748109591</v>
      </c>
      <c r="H16" s="3">
        <f>SQRT(H15*H14)</f>
        <v>1.093314252562998</v>
      </c>
      <c r="I16" s="3">
        <f>SQRT(I15*I14)</f>
        <v>1.6411558145766154</v>
      </c>
      <c r="K16" s="1"/>
    </row>
    <row r="17" spans="1:11" x14ac:dyDescent="0.35">
      <c r="A17" s="1"/>
      <c r="B17" s="2"/>
      <c r="C17" s="2"/>
      <c r="D17" s="2"/>
      <c r="K17" s="1"/>
    </row>
    <row r="18" spans="1:11" x14ac:dyDescent="0.35">
      <c r="A18" s="1" t="s">
        <v>13</v>
      </c>
      <c r="B18" s="2" t="s">
        <v>9</v>
      </c>
      <c r="C18" s="2" t="s">
        <v>10</v>
      </c>
      <c r="D18" s="2" t="s">
        <v>11</v>
      </c>
      <c r="K18" s="1"/>
    </row>
    <row r="19" spans="1:11" x14ac:dyDescent="0.35">
      <c r="A19" s="1">
        <v>2020</v>
      </c>
      <c r="B19" s="2">
        <f>B$5*C3+D$5*E3</f>
        <v>9200</v>
      </c>
      <c r="C19" s="2">
        <f>F$5*G3+H$5*I3</f>
        <v>1850</v>
      </c>
      <c r="D19" s="2">
        <f>B19+C19</f>
        <v>11050</v>
      </c>
      <c r="K19" s="1"/>
    </row>
    <row r="20" spans="1:11" x14ac:dyDescent="0.35">
      <c r="A20" s="1">
        <v>2021</v>
      </c>
      <c r="B20" s="2">
        <f t="shared" ref="B20:B21" si="8">B$5*C4+D$5*E4</f>
        <v>17350</v>
      </c>
      <c r="C20" s="2">
        <f t="shared" ref="C20:C21" si="9">F$5*G4+H$5*I4</f>
        <v>1989</v>
      </c>
      <c r="D20" s="2">
        <f t="shared" ref="D20:D21" si="10">B20+C20</f>
        <v>19339</v>
      </c>
      <c r="K20" s="1"/>
    </row>
    <row r="21" spans="1:11" x14ac:dyDescent="0.35">
      <c r="A21" s="1">
        <v>2022</v>
      </c>
      <c r="B21" s="2">
        <f t="shared" si="8"/>
        <v>29350</v>
      </c>
      <c r="C21" s="2">
        <f t="shared" si="9"/>
        <v>2176</v>
      </c>
      <c r="D21" s="2">
        <f t="shared" si="10"/>
        <v>31526</v>
      </c>
      <c r="K2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800CC-4364-4253-93DF-9952A35E58E9}">
  <dimension ref="B4:M8"/>
  <sheetViews>
    <sheetView tabSelected="1" workbookViewId="0">
      <selection activeCell="L7" sqref="L7"/>
    </sheetView>
  </sheetViews>
  <sheetFormatPr defaultRowHeight="14.5" x14ac:dyDescent="0.35"/>
  <sheetData>
    <row r="4" spans="2:13" x14ac:dyDescent="0.35">
      <c r="B4">
        <v>10000</v>
      </c>
      <c r="C4">
        <v>20000</v>
      </c>
    </row>
    <row r="5" spans="2:13" x14ac:dyDescent="0.35">
      <c r="B5">
        <v>0.03</v>
      </c>
      <c r="C5">
        <v>0.01</v>
      </c>
    </row>
    <row r="6" spans="2:13" x14ac:dyDescent="0.35">
      <c r="B6">
        <v>35.349373791569491</v>
      </c>
      <c r="C6">
        <f>B6</f>
        <v>35.349373791569491</v>
      </c>
      <c r="I6" t="s">
        <v>26</v>
      </c>
      <c r="J6" t="s">
        <v>27</v>
      </c>
      <c r="K6" t="s">
        <v>28</v>
      </c>
      <c r="L6" t="s">
        <v>25</v>
      </c>
      <c r="M6" t="s">
        <v>25</v>
      </c>
    </row>
    <row r="7" spans="2:13" x14ac:dyDescent="0.35">
      <c r="B7">
        <f>B4*(1+B5)^B6</f>
        <v>28430.719760008345</v>
      </c>
      <c r="C7">
        <f>C4*(1+C5)^C6</f>
        <v>28430.719645459114</v>
      </c>
      <c r="E7">
        <f>B7-C7</f>
        <v>1.1454923151177354E-4</v>
      </c>
      <c r="I7">
        <v>1</v>
      </c>
      <c r="J7">
        <v>1</v>
      </c>
      <c r="K7">
        <v>1.1000000000000001</v>
      </c>
      <c r="L7">
        <f>I7/J7^(1/3)</f>
        <v>1</v>
      </c>
      <c r="M7">
        <f>I7/(J7^(1/3)*K7^(1/4))</f>
        <v>0.97645408967631053</v>
      </c>
    </row>
    <row r="8" spans="2:13" x14ac:dyDescent="0.35">
      <c r="I8">
        <v>0.4</v>
      </c>
      <c r="J8">
        <v>0.95</v>
      </c>
      <c r="K8">
        <v>0.2</v>
      </c>
      <c r="L8">
        <f>I8/J8^(1/3)</f>
        <v>0.40689790727644043</v>
      </c>
      <c r="M8">
        <f>I8/(J8^(1/3)*K8^(1/4))</f>
        <v>0.60845428972729043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15D0D-7C90-43E7-812F-1A9C33983628}">
  <dimension ref="A1:D3"/>
  <sheetViews>
    <sheetView workbookViewId="0">
      <selection activeCell="I6" sqref="I6"/>
    </sheetView>
  </sheetViews>
  <sheetFormatPr defaultRowHeight="14.5" x14ac:dyDescent="0.35"/>
  <cols>
    <col min="2" max="3" width="10.1796875" bestFit="1" customWidth="1"/>
    <col min="4" max="4" width="10.90625" bestFit="1" customWidth="1"/>
  </cols>
  <sheetData>
    <row r="1" spans="1:4" x14ac:dyDescent="0.35">
      <c r="A1" s="8" t="s">
        <v>19</v>
      </c>
      <c r="B1" s="7" t="s">
        <v>23</v>
      </c>
      <c r="C1" s="7" t="s">
        <v>22</v>
      </c>
      <c r="D1" s="7" t="s">
        <v>24</v>
      </c>
    </row>
    <row r="2" spans="1:4" x14ac:dyDescent="0.35">
      <c r="A2" s="9" t="s">
        <v>20</v>
      </c>
      <c r="B2" s="6">
        <v>1</v>
      </c>
      <c r="C2" s="6">
        <v>1</v>
      </c>
      <c r="D2" s="6">
        <v>1</v>
      </c>
    </row>
    <row r="3" spans="1:4" x14ac:dyDescent="0.35">
      <c r="A3" s="8" t="s">
        <v>21</v>
      </c>
      <c r="B3" s="7">
        <v>0.13</v>
      </c>
      <c r="C3" s="7">
        <v>0.55000000000000004</v>
      </c>
      <c r="D3" s="7">
        <v>2.68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Terry Yip</cp:lastModifiedBy>
  <dcterms:created xsi:type="dcterms:W3CDTF">2015-06-05T18:17:20Z</dcterms:created>
  <dcterms:modified xsi:type="dcterms:W3CDTF">2024-11-18T01:48:57Z</dcterms:modified>
</cp:coreProperties>
</file>