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rry\Desktop\"/>
    </mc:Choice>
  </mc:AlternateContent>
  <xr:revisionPtr revIDLastSave="0" documentId="13_ncr:1_{A6C1291D-8228-44FD-81CF-10C966952705}" xr6:coauthVersionLast="47" xr6:coauthVersionMax="47" xr10:uidLastSave="{00000000-0000-0000-0000-000000000000}"/>
  <bookViews>
    <workbookView xWindow="12105" yWindow="4710" windowWidth="21750" windowHeight="16170" xr2:uid="{20E5EB7D-4193-4A65-8FA9-B6C7B168CBC5}"/>
  </bookViews>
  <sheets>
    <sheet name="NGDPRSAXDCCA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8" i="1"/>
  <c r="C9" i="1"/>
  <c r="C10" i="1"/>
  <c r="C11" i="1"/>
  <c r="C12" i="1"/>
  <c r="C13" i="1"/>
  <c r="C14" i="1"/>
  <c r="E14" i="1" s="1"/>
  <c r="C15" i="1"/>
  <c r="C16" i="1"/>
  <c r="E16" i="1" s="1"/>
  <c r="C17" i="1"/>
  <c r="C18" i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C42" i="1"/>
  <c r="E42" i="1" s="1"/>
  <c r="C43" i="1"/>
  <c r="C44" i="1"/>
  <c r="E44" i="1" s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C54" i="1"/>
  <c r="E54" i="1" s="1"/>
  <c r="C55" i="1"/>
  <c r="E55" i="1" s="1"/>
  <c r="C56" i="1"/>
  <c r="E56" i="1" s="1"/>
  <c r="C57" i="1"/>
  <c r="E57" i="1" s="1"/>
  <c r="C58" i="1"/>
  <c r="E58" i="1" s="1"/>
  <c r="C59" i="1"/>
  <c r="E59" i="1" s="1"/>
  <c r="C60" i="1"/>
  <c r="E60" i="1" s="1"/>
  <c r="C61" i="1"/>
  <c r="C62" i="1"/>
  <c r="C63" i="1"/>
  <c r="E63" i="1" s="1"/>
  <c r="C64" i="1"/>
  <c r="E64" i="1" s="1"/>
  <c r="C65" i="1"/>
  <c r="E65" i="1" s="1"/>
  <c r="C66" i="1"/>
  <c r="E66" i="1" s="1"/>
  <c r="C67" i="1"/>
  <c r="E67" i="1" s="1"/>
  <c r="C68" i="1"/>
  <c r="E68" i="1" s="1"/>
  <c r="C69" i="1"/>
  <c r="E69" i="1" s="1"/>
  <c r="C70" i="1"/>
  <c r="E70" i="1" s="1"/>
  <c r="C71" i="1"/>
  <c r="E71" i="1" s="1"/>
  <c r="C72" i="1"/>
  <c r="E72" i="1" s="1"/>
  <c r="C73" i="1"/>
  <c r="E73" i="1" s="1"/>
  <c r="C74" i="1"/>
  <c r="C75" i="1"/>
  <c r="C76" i="1"/>
  <c r="E76" i="1" s="1"/>
  <c r="C77" i="1"/>
  <c r="E77" i="1" s="1"/>
  <c r="C78" i="1"/>
  <c r="E78" i="1" s="1"/>
  <c r="C79" i="1"/>
  <c r="C80" i="1"/>
  <c r="E80" i="1" s="1"/>
  <c r="C81" i="1"/>
  <c r="C82" i="1"/>
  <c r="C83" i="1"/>
  <c r="E83" i="1" s="1"/>
  <c r="C84" i="1"/>
  <c r="E84" i="1" s="1"/>
  <c r="C85" i="1"/>
  <c r="E85" i="1" s="1"/>
  <c r="C86" i="1"/>
  <c r="E86" i="1" s="1"/>
  <c r="C87" i="1"/>
  <c r="E87" i="1" s="1"/>
  <c r="C88" i="1"/>
  <c r="E88" i="1" s="1"/>
  <c r="C89" i="1"/>
  <c r="C90" i="1"/>
  <c r="E90" i="1" s="1"/>
  <c r="C91" i="1"/>
  <c r="E91" i="1" s="1"/>
  <c r="C92" i="1"/>
  <c r="E92" i="1" s="1"/>
  <c r="C93" i="1"/>
  <c r="E93" i="1" s="1"/>
  <c r="C94" i="1"/>
  <c r="E94" i="1" s="1"/>
  <c r="C95" i="1"/>
  <c r="E95" i="1" s="1"/>
  <c r="C96" i="1"/>
  <c r="E96" i="1" s="1"/>
  <c r="C97" i="1"/>
  <c r="E97" i="1" s="1"/>
  <c r="C98" i="1"/>
  <c r="E98" i="1" s="1"/>
  <c r="C99" i="1"/>
  <c r="E99" i="1" s="1"/>
  <c r="C100" i="1"/>
  <c r="E100" i="1" s="1"/>
  <c r="C101" i="1"/>
  <c r="E101" i="1" s="1"/>
  <c r="C102" i="1"/>
  <c r="E102" i="1" s="1"/>
  <c r="C103" i="1"/>
  <c r="E103" i="1" s="1"/>
  <c r="C104" i="1"/>
  <c r="E104" i="1" s="1"/>
  <c r="C105" i="1"/>
  <c r="C106" i="1"/>
  <c r="E106" i="1" s="1"/>
  <c r="C107" i="1"/>
  <c r="E107" i="1" s="1"/>
  <c r="C108" i="1"/>
  <c r="E108" i="1" s="1"/>
  <c r="C109" i="1"/>
  <c r="C110" i="1"/>
  <c r="E110" i="1" s="1"/>
  <c r="C111" i="1"/>
  <c r="E111" i="1" s="1"/>
  <c r="C112" i="1"/>
  <c r="E112" i="1" s="1"/>
  <c r="C113" i="1"/>
  <c r="E113" i="1" s="1"/>
  <c r="C114" i="1"/>
  <c r="E114" i="1" s="1"/>
  <c r="C115" i="1"/>
  <c r="E115" i="1" s="1"/>
  <c r="C116" i="1"/>
  <c r="E116" i="1" s="1"/>
  <c r="C117" i="1"/>
  <c r="E117" i="1" s="1"/>
  <c r="C118" i="1"/>
  <c r="E118" i="1" s="1"/>
  <c r="C119" i="1"/>
  <c r="E119" i="1" s="1"/>
  <c r="C120" i="1"/>
  <c r="E120" i="1" s="1"/>
  <c r="C121" i="1"/>
  <c r="E121" i="1" s="1"/>
  <c r="C122" i="1"/>
  <c r="E122" i="1" s="1"/>
  <c r="C123" i="1"/>
  <c r="E123" i="1" s="1"/>
  <c r="C124" i="1"/>
  <c r="E124" i="1" s="1"/>
  <c r="C125" i="1"/>
  <c r="E125" i="1" s="1"/>
  <c r="C126" i="1"/>
  <c r="E126" i="1" s="1"/>
  <c r="C127" i="1"/>
  <c r="E127" i="1" s="1"/>
  <c r="C128" i="1"/>
  <c r="E128" i="1" s="1"/>
  <c r="C129" i="1"/>
  <c r="E129" i="1" s="1"/>
  <c r="C130" i="1"/>
  <c r="E130" i="1" s="1"/>
  <c r="C131" i="1"/>
  <c r="E131" i="1" s="1"/>
  <c r="C132" i="1"/>
  <c r="E132" i="1" s="1"/>
  <c r="C133" i="1"/>
  <c r="E133" i="1" s="1"/>
  <c r="C134" i="1"/>
  <c r="E134" i="1" s="1"/>
  <c r="C135" i="1"/>
  <c r="C136" i="1"/>
  <c r="E136" i="1" s="1"/>
  <c r="C137" i="1"/>
  <c r="C138" i="1"/>
  <c r="E138" i="1" s="1"/>
  <c r="C139" i="1"/>
  <c r="C140" i="1"/>
  <c r="C141" i="1"/>
  <c r="C142" i="1"/>
  <c r="E142" i="1" s="1"/>
  <c r="C143" i="1"/>
  <c r="C144" i="1"/>
  <c r="E144" i="1" s="1"/>
  <c r="C145" i="1"/>
  <c r="C146" i="1"/>
  <c r="C147" i="1"/>
  <c r="C148" i="1"/>
  <c r="C149" i="1"/>
  <c r="C150" i="1"/>
  <c r="E150" i="1" s="1"/>
  <c r="C151" i="1"/>
  <c r="C152" i="1"/>
  <c r="C153" i="1"/>
  <c r="C154" i="1"/>
  <c r="C155" i="1"/>
  <c r="C156" i="1"/>
  <c r="E156" i="1" s="1"/>
  <c r="C157" i="1"/>
  <c r="C158" i="1"/>
  <c r="C159" i="1"/>
  <c r="C160" i="1"/>
  <c r="E160" i="1" s="1"/>
  <c r="C161" i="1"/>
  <c r="E161" i="1" s="1"/>
  <c r="C162" i="1"/>
  <c r="E162" i="1" s="1"/>
  <c r="C163" i="1"/>
  <c r="E163" i="1" s="1"/>
  <c r="C164" i="1"/>
  <c r="E164" i="1" s="1"/>
  <c r="C165" i="1"/>
  <c r="E165" i="1" s="1"/>
  <c r="C166" i="1"/>
  <c r="E166" i="1" s="1"/>
  <c r="C167" i="1"/>
  <c r="E167" i="1" s="1"/>
  <c r="C168" i="1"/>
  <c r="E168" i="1" s="1"/>
  <c r="C169" i="1"/>
  <c r="C170" i="1"/>
  <c r="C171" i="1"/>
  <c r="C172" i="1"/>
  <c r="C173" i="1"/>
  <c r="C174" i="1"/>
  <c r="C175" i="1"/>
  <c r="C176" i="1"/>
  <c r="E176" i="1" s="1"/>
  <c r="C177" i="1"/>
  <c r="E177" i="1" s="1"/>
  <c r="C178" i="1"/>
  <c r="E178" i="1" s="1"/>
  <c r="C179" i="1"/>
  <c r="E179" i="1" s="1"/>
  <c r="C180" i="1"/>
  <c r="C181" i="1"/>
  <c r="C182" i="1"/>
  <c r="E182" i="1" s="1"/>
  <c r="C183" i="1"/>
  <c r="E183" i="1" s="1"/>
  <c r="C184" i="1"/>
  <c r="E184" i="1" s="1"/>
  <c r="C185" i="1"/>
  <c r="E185" i="1" s="1"/>
  <c r="C186" i="1"/>
  <c r="E186" i="1" s="1"/>
  <c r="C187" i="1"/>
  <c r="E187" i="1" s="1"/>
  <c r="C188" i="1"/>
  <c r="E188" i="1" s="1"/>
  <c r="C189" i="1"/>
  <c r="E189" i="1" s="1"/>
  <c r="C190" i="1"/>
  <c r="E190" i="1" s="1"/>
  <c r="C191" i="1"/>
  <c r="E191" i="1" s="1"/>
  <c r="C192" i="1"/>
  <c r="E192" i="1" s="1"/>
  <c r="C193" i="1"/>
  <c r="E193" i="1" s="1"/>
  <c r="C194" i="1"/>
  <c r="E194" i="1" s="1"/>
  <c r="C195" i="1"/>
  <c r="E195" i="1" s="1"/>
  <c r="C196" i="1"/>
  <c r="E196" i="1" s="1"/>
  <c r="C197" i="1"/>
  <c r="E197" i="1" s="1"/>
  <c r="C198" i="1"/>
  <c r="E198" i="1" s="1"/>
  <c r="C199" i="1"/>
  <c r="C200" i="1"/>
  <c r="E200" i="1" s="1"/>
  <c r="C201" i="1"/>
  <c r="E201" i="1" s="1"/>
  <c r="C202" i="1"/>
  <c r="E202" i="1" s="1"/>
  <c r="C203" i="1"/>
  <c r="C204" i="1"/>
  <c r="E204" i="1" s="1"/>
  <c r="C205" i="1"/>
  <c r="E205" i="1" s="1"/>
  <c r="C206" i="1"/>
  <c r="E206" i="1" s="1"/>
  <c r="C207" i="1"/>
  <c r="E207" i="1" s="1"/>
  <c r="C208" i="1"/>
  <c r="E208" i="1" s="1"/>
  <c r="C209" i="1"/>
  <c r="E209" i="1" s="1"/>
  <c r="C210" i="1"/>
  <c r="E210" i="1" s="1"/>
  <c r="C211" i="1"/>
  <c r="E211" i="1" s="1"/>
  <c r="C212" i="1"/>
  <c r="E212" i="1" s="1"/>
  <c r="C213" i="1"/>
  <c r="E213" i="1" s="1"/>
  <c r="C214" i="1"/>
  <c r="E214" i="1" s="1"/>
  <c r="C215" i="1"/>
  <c r="E215" i="1" s="1"/>
  <c r="C216" i="1"/>
  <c r="E216" i="1" s="1"/>
  <c r="C217" i="1"/>
  <c r="E217" i="1" s="1"/>
  <c r="C218" i="1"/>
  <c r="E218" i="1" s="1"/>
  <c r="C219" i="1"/>
  <c r="E219" i="1" s="1"/>
  <c r="C220" i="1"/>
  <c r="E220" i="1" s="1"/>
  <c r="C221" i="1"/>
  <c r="C222" i="1"/>
  <c r="C223" i="1"/>
  <c r="E223" i="1" s="1"/>
  <c r="C224" i="1"/>
  <c r="E224" i="1" s="1"/>
  <c r="C225" i="1"/>
  <c r="E225" i="1" s="1"/>
  <c r="C226" i="1"/>
  <c r="E226" i="1" s="1"/>
  <c r="C227" i="1"/>
  <c r="E227" i="1" s="1"/>
  <c r="C228" i="1"/>
  <c r="E228" i="1" s="1"/>
  <c r="C229" i="1"/>
  <c r="E229" i="1" s="1"/>
  <c r="C230" i="1"/>
  <c r="E230" i="1" s="1"/>
  <c r="C231" i="1"/>
  <c r="E231" i="1" s="1"/>
  <c r="C232" i="1"/>
  <c r="E232" i="1" s="1"/>
  <c r="C233" i="1"/>
  <c r="E233" i="1" s="1"/>
  <c r="C234" i="1"/>
  <c r="E234" i="1" s="1"/>
  <c r="C235" i="1"/>
  <c r="C236" i="1"/>
  <c r="C237" i="1"/>
  <c r="C238" i="1"/>
  <c r="E238" i="1" s="1"/>
  <c r="C239" i="1"/>
  <c r="E239" i="1" s="1"/>
  <c r="C240" i="1"/>
  <c r="E240" i="1" s="1"/>
  <c r="C241" i="1"/>
  <c r="E241" i="1" s="1"/>
  <c r="C242" i="1"/>
  <c r="E242" i="1" s="1"/>
  <c r="C243" i="1"/>
  <c r="E243" i="1" s="1"/>
  <c r="C244" i="1"/>
  <c r="E244" i="1" s="1"/>
  <c r="C245" i="1"/>
  <c r="E245" i="1" s="1"/>
  <c r="C246" i="1"/>
  <c r="E246" i="1" s="1"/>
  <c r="C247" i="1"/>
  <c r="E247" i="1" s="1"/>
  <c r="C248" i="1"/>
  <c r="E248" i="1" s="1"/>
  <c r="C249" i="1"/>
  <c r="E249" i="1" s="1"/>
  <c r="C250" i="1"/>
  <c r="E250" i="1" s="1"/>
  <c r="C251" i="1"/>
  <c r="E251" i="1" s="1"/>
  <c r="C252" i="1"/>
  <c r="E252" i="1" s="1"/>
  <c r="C253" i="1"/>
  <c r="E253" i="1" s="1"/>
  <c r="C254" i="1"/>
  <c r="E254" i="1" s="1"/>
  <c r="C255" i="1"/>
  <c r="E255" i="1" s="1"/>
  <c r="C256" i="1"/>
  <c r="E256" i="1" s="1"/>
  <c r="C6" i="1"/>
  <c r="D13" i="1"/>
  <c r="F13" i="1" s="1"/>
  <c r="E41" i="1"/>
  <c r="E43" i="1"/>
  <c r="E61" i="1"/>
  <c r="E62" i="1"/>
  <c r="E74" i="1"/>
  <c r="E75" i="1"/>
  <c r="E105" i="1"/>
  <c r="E109" i="1"/>
  <c r="E135" i="1"/>
  <c r="E137" i="1"/>
  <c r="E139" i="1"/>
  <c r="E140" i="1"/>
  <c r="E141" i="1"/>
  <c r="E148" i="1"/>
  <c r="E149" i="1"/>
  <c r="E151" i="1"/>
  <c r="E152" i="1"/>
  <c r="E157" i="1"/>
  <c r="E158" i="1"/>
  <c r="E159" i="1"/>
  <c r="E169" i="1"/>
  <c r="E170" i="1"/>
  <c r="E171" i="1"/>
  <c r="E172" i="1"/>
  <c r="E173" i="1"/>
  <c r="E180" i="1"/>
  <c r="E181" i="1"/>
  <c r="E199" i="1"/>
  <c r="E203" i="1"/>
  <c r="E221" i="1"/>
  <c r="E222" i="1"/>
  <c r="E235" i="1"/>
  <c r="E236" i="1"/>
  <c r="E237" i="1"/>
  <c r="E13" i="1"/>
  <c r="E15" i="1"/>
  <c r="E17" i="1"/>
  <c r="E18" i="1"/>
  <c r="E79" i="1"/>
  <c r="E81" i="1"/>
  <c r="E82" i="1"/>
  <c r="E89" i="1"/>
  <c r="E143" i="1"/>
  <c r="E145" i="1"/>
  <c r="E146" i="1"/>
  <c r="E147" i="1"/>
  <c r="E153" i="1"/>
  <c r="E154" i="1"/>
  <c r="E155" i="1"/>
  <c r="E174" i="1"/>
  <c r="E175" i="1"/>
  <c r="D247" i="1"/>
  <c r="F247" i="1" s="1"/>
  <c r="F37" i="1"/>
  <c r="F38" i="1"/>
  <c r="F39" i="1"/>
  <c r="F40" i="1"/>
  <c r="F101" i="1"/>
  <c r="F102" i="1"/>
  <c r="F162" i="1"/>
  <c r="F163" i="1"/>
  <c r="F167" i="1"/>
  <c r="F224" i="1"/>
  <c r="F225" i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D38" i="1"/>
  <c r="D39" i="1"/>
  <c r="D40" i="1"/>
  <c r="D41" i="1"/>
  <c r="F41" i="1" s="1"/>
  <c r="D42" i="1"/>
  <c r="F42" i="1" s="1"/>
  <c r="D43" i="1"/>
  <c r="F43" i="1" s="1"/>
  <c r="D44" i="1"/>
  <c r="F44" i="1" s="1"/>
  <c r="D45" i="1"/>
  <c r="D46" i="1"/>
  <c r="D47" i="1"/>
  <c r="D48" i="1"/>
  <c r="D49" i="1"/>
  <c r="D50" i="1"/>
  <c r="D51" i="1"/>
  <c r="D52" i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F93" i="1" s="1"/>
  <c r="D94" i="1"/>
  <c r="F94" i="1" s="1"/>
  <c r="D95" i="1"/>
  <c r="D96" i="1"/>
  <c r="F96" i="1" s="1"/>
  <c r="D97" i="1"/>
  <c r="F97" i="1" s="1"/>
  <c r="D98" i="1"/>
  <c r="F98" i="1" s="1"/>
  <c r="D99" i="1"/>
  <c r="F99" i="1" s="1"/>
  <c r="D100" i="1"/>
  <c r="F100" i="1" s="1"/>
  <c r="D101" i="1"/>
  <c r="D102" i="1"/>
  <c r="D103" i="1"/>
  <c r="F103" i="1" s="1"/>
  <c r="D104" i="1"/>
  <c r="F104" i="1" s="1"/>
  <c r="D105" i="1"/>
  <c r="F105" i="1" s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F128" i="1" s="1"/>
  <c r="D129" i="1"/>
  <c r="F129" i="1" s="1"/>
  <c r="D130" i="1"/>
  <c r="F130" i="1" s="1"/>
  <c r="D131" i="1"/>
  <c r="F131" i="1" s="1"/>
  <c r="D132" i="1"/>
  <c r="F132" i="1" s="1"/>
  <c r="D133" i="1"/>
  <c r="F133" i="1" s="1"/>
  <c r="D134" i="1"/>
  <c r="F134" i="1" s="1"/>
  <c r="D135" i="1"/>
  <c r="F135" i="1" s="1"/>
  <c r="D136" i="1"/>
  <c r="F136" i="1" s="1"/>
  <c r="D137" i="1"/>
  <c r="F137" i="1" s="1"/>
  <c r="D138" i="1"/>
  <c r="F138" i="1" s="1"/>
  <c r="D139" i="1"/>
  <c r="F139" i="1" s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F152" i="1" s="1"/>
  <c r="D153" i="1"/>
  <c r="F153" i="1" s="1"/>
  <c r="D154" i="1"/>
  <c r="F154" i="1" s="1"/>
  <c r="D155" i="1"/>
  <c r="F155" i="1" s="1"/>
  <c r="D156" i="1"/>
  <c r="D157" i="1"/>
  <c r="D158" i="1"/>
  <c r="D159" i="1"/>
  <c r="D160" i="1"/>
  <c r="F160" i="1" s="1"/>
  <c r="D161" i="1"/>
  <c r="F161" i="1" s="1"/>
  <c r="D162" i="1"/>
  <c r="D163" i="1"/>
  <c r="D164" i="1"/>
  <c r="F164" i="1" s="1"/>
  <c r="D165" i="1"/>
  <c r="F165" i="1" s="1"/>
  <c r="D166" i="1"/>
  <c r="F166" i="1" s="1"/>
  <c r="D167" i="1"/>
  <c r="D168" i="1"/>
  <c r="F168" i="1" s="1"/>
  <c r="D169" i="1"/>
  <c r="F169" i="1" s="1"/>
  <c r="D170" i="1"/>
  <c r="F170" i="1" s="1"/>
  <c r="D171" i="1"/>
  <c r="F171" i="1" s="1"/>
  <c r="D172" i="1"/>
  <c r="F172" i="1" s="1"/>
  <c r="D173" i="1"/>
  <c r="D174" i="1"/>
  <c r="D175" i="1"/>
  <c r="D176" i="1"/>
  <c r="D177" i="1"/>
  <c r="D178" i="1"/>
  <c r="D179" i="1"/>
  <c r="D180" i="1"/>
  <c r="D181" i="1"/>
  <c r="F181" i="1" s="1"/>
  <c r="D182" i="1"/>
  <c r="F182" i="1" s="1"/>
  <c r="D183" i="1"/>
  <c r="F183" i="1" s="1"/>
  <c r="D184" i="1"/>
  <c r="F184" i="1" s="1"/>
  <c r="D185" i="1"/>
  <c r="F185" i="1" s="1"/>
  <c r="D186" i="1"/>
  <c r="F186" i="1" s="1"/>
  <c r="D187" i="1"/>
  <c r="F187" i="1" s="1"/>
  <c r="D188" i="1"/>
  <c r="F188" i="1" s="1"/>
  <c r="D189" i="1"/>
  <c r="F189" i="1" s="1"/>
  <c r="D190" i="1"/>
  <c r="F190" i="1" s="1"/>
  <c r="D191" i="1"/>
  <c r="D192" i="1"/>
  <c r="F192" i="1" s="1"/>
  <c r="D193" i="1"/>
  <c r="F193" i="1" s="1"/>
  <c r="D194" i="1"/>
  <c r="F194" i="1" s="1"/>
  <c r="D195" i="1"/>
  <c r="F195" i="1" s="1"/>
  <c r="D196" i="1"/>
  <c r="F196" i="1" s="1"/>
  <c r="D197" i="1"/>
  <c r="F197" i="1" s="1"/>
  <c r="D198" i="1"/>
  <c r="F198" i="1" s="1"/>
  <c r="D199" i="1"/>
  <c r="F199" i="1" s="1"/>
  <c r="D200" i="1"/>
  <c r="F200" i="1" s="1"/>
  <c r="D201" i="1"/>
  <c r="F201" i="1" s="1"/>
  <c r="D202" i="1"/>
  <c r="F202" i="1" s="1"/>
  <c r="D203" i="1"/>
  <c r="F203" i="1" s="1"/>
  <c r="D204" i="1"/>
  <c r="F204" i="1" s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F226" i="1" s="1"/>
  <c r="D227" i="1"/>
  <c r="F227" i="1" s="1"/>
  <c r="D228" i="1"/>
  <c r="F228" i="1" s="1"/>
  <c r="D229" i="1"/>
  <c r="F229" i="1" s="1"/>
  <c r="D230" i="1"/>
  <c r="F230" i="1" s="1"/>
  <c r="D231" i="1"/>
  <c r="F231" i="1" s="1"/>
  <c r="D232" i="1"/>
  <c r="F232" i="1" s="1"/>
  <c r="D233" i="1"/>
  <c r="F233" i="1" s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8" i="1"/>
  <c r="D249" i="1"/>
  <c r="D250" i="1"/>
  <c r="D251" i="1"/>
  <c r="D252" i="1"/>
  <c r="F252" i="1" s="1"/>
  <c r="D253" i="1"/>
  <c r="F253" i="1" s="1"/>
  <c r="D254" i="1"/>
  <c r="F254" i="1" s="1"/>
  <c r="D255" i="1"/>
  <c r="F255" i="1" s="1"/>
  <c r="D256" i="1"/>
  <c r="F256" i="1" s="1"/>
  <c r="D14" i="1"/>
  <c r="F14" i="1" s="1"/>
  <c r="D15" i="1"/>
  <c r="F15" i="1" s="1"/>
  <c r="D16" i="1"/>
  <c r="D17" i="1"/>
  <c r="D18" i="1"/>
  <c r="D19" i="1"/>
  <c r="D20" i="1"/>
  <c r="D21" i="1"/>
  <c r="D22" i="1"/>
  <c r="F22" i="1" s="1"/>
  <c r="D23" i="1"/>
  <c r="F23" i="1" s="1"/>
  <c r="F20" i="1" l="1"/>
  <c r="F19" i="1"/>
  <c r="F18" i="1"/>
  <c r="F223" i="1"/>
  <c r="F17" i="1"/>
  <c r="F222" i="1"/>
  <c r="F95" i="1"/>
  <c r="F16" i="1"/>
  <c r="F221" i="1"/>
  <c r="F220" i="1"/>
  <c r="F219" i="1"/>
  <c r="F92" i="1"/>
  <c r="F218" i="1"/>
  <c r="F91" i="1"/>
  <c r="F217" i="1"/>
  <c r="F90" i="1"/>
  <c r="F216" i="1"/>
  <c r="F89" i="1"/>
  <c r="F180" i="1"/>
  <c r="F148" i="1"/>
  <c r="F116" i="1"/>
  <c r="F84" i="1"/>
  <c r="F52" i="1"/>
  <c r="F215" i="1"/>
  <c r="F88" i="1"/>
  <c r="F243" i="1"/>
  <c r="F211" i="1"/>
  <c r="F179" i="1"/>
  <c r="F147" i="1"/>
  <c r="F115" i="1"/>
  <c r="F83" i="1"/>
  <c r="F51" i="1"/>
  <c r="F214" i="1"/>
  <c r="F127" i="1"/>
  <c r="F87" i="1"/>
  <c r="F242" i="1"/>
  <c r="F210" i="1"/>
  <c r="F178" i="1"/>
  <c r="F146" i="1"/>
  <c r="F114" i="1"/>
  <c r="F82" i="1"/>
  <c r="F50" i="1"/>
  <c r="F213" i="1"/>
  <c r="F126" i="1"/>
  <c r="F86" i="1"/>
  <c r="F241" i="1"/>
  <c r="F209" i="1"/>
  <c r="F177" i="1"/>
  <c r="F145" i="1"/>
  <c r="F113" i="1"/>
  <c r="F81" i="1"/>
  <c r="F49" i="1"/>
  <c r="F251" i="1"/>
  <c r="F212" i="1"/>
  <c r="F125" i="1"/>
  <c r="F85" i="1"/>
  <c r="F240" i="1"/>
  <c r="F208" i="1"/>
  <c r="F176" i="1"/>
  <c r="F144" i="1"/>
  <c r="F112" i="1"/>
  <c r="F80" i="1"/>
  <c r="F48" i="1"/>
  <c r="F250" i="1"/>
  <c r="F124" i="1"/>
  <c r="F239" i="1"/>
  <c r="F207" i="1"/>
  <c r="F175" i="1"/>
  <c r="F143" i="1"/>
  <c r="F111" i="1"/>
  <c r="F79" i="1"/>
  <c r="F47" i="1"/>
  <c r="F249" i="1"/>
  <c r="F123" i="1"/>
  <c r="F238" i="1"/>
  <c r="F206" i="1"/>
  <c r="F174" i="1"/>
  <c r="F142" i="1"/>
  <c r="F110" i="1"/>
  <c r="F78" i="1"/>
  <c r="F46" i="1"/>
  <c r="F248" i="1"/>
  <c r="F122" i="1"/>
  <c r="F237" i="1"/>
  <c r="F205" i="1"/>
  <c r="F173" i="1"/>
  <c r="F141" i="1"/>
  <c r="F109" i="1"/>
  <c r="F77" i="1"/>
  <c r="F45" i="1"/>
  <c r="F121" i="1"/>
  <c r="F246" i="1"/>
  <c r="F120" i="1"/>
  <c r="F245" i="1"/>
  <c r="F159" i="1"/>
  <c r="F119" i="1"/>
  <c r="F244" i="1"/>
  <c r="F158" i="1"/>
  <c r="F118" i="1"/>
  <c r="F236" i="1"/>
  <c r="F157" i="1"/>
  <c r="F117" i="1"/>
  <c r="F235" i="1"/>
  <c r="F156" i="1"/>
  <c r="F108" i="1"/>
  <c r="F234" i="1"/>
  <c r="F107" i="1"/>
  <c r="F106" i="1"/>
  <c r="F191" i="1"/>
  <c r="F151" i="1"/>
  <c r="F150" i="1"/>
  <c r="F149" i="1"/>
  <c r="F21" i="1"/>
  <c r="F140" i="1"/>
</calcChain>
</file>

<file path=xl/sharedStrings.xml><?xml version="1.0" encoding="utf-8"?>
<sst xmlns="http://schemas.openxmlformats.org/spreadsheetml/2006/main" count="11" uniqueCount="11">
  <si>
    <t>observation_date</t>
  </si>
  <si>
    <t>NGDPRSAXDCCAQ</t>
  </si>
  <si>
    <t>MA</t>
  </si>
  <si>
    <t>Hamilton</t>
  </si>
  <si>
    <t>Short-run Y using MA</t>
  </si>
  <si>
    <t>Short-run Y using Hamilton</t>
  </si>
  <si>
    <t>b0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</si>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</sst>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Lucida Console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  <xf numFmtId="164" fontId="0" fillId="0" borderId="0" xfId="0" applyNumberFormat="1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NGDPRSAXDCCAQ!$E$13:$E$256</c:f>
              <c:numCache>
                <c:formatCode>0.00%</c:formatCode>
                <c:ptCount val="244"/>
                <c:pt idx="0">
                  <c:v>3.6675341209963852E-2</c:v>
                </c:pt>
                <c:pt idx="1">
                  <c:v>4.4764423010817733E-2</c:v>
                </c:pt>
                <c:pt idx="2">
                  <c:v>3.1782054463266096E-2</c:v>
                </c:pt>
                <c:pt idx="3">
                  <c:v>2.6830387106242526E-2</c:v>
                </c:pt>
                <c:pt idx="4">
                  <c:v>1.6836633294739611E-2</c:v>
                </c:pt>
                <c:pt idx="5">
                  <c:v>3.3433003954321139E-2</c:v>
                </c:pt>
                <c:pt idx="6">
                  <c:v>3.0421481426264663E-2</c:v>
                </c:pt>
                <c:pt idx="7">
                  <c:v>3.026576288169025E-2</c:v>
                </c:pt>
                <c:pt idx="8">
                  <c:v>3.796214147490673E-2</c:v>
                </c:pt>
                <c:pt idx="9">
                  <c:v>3.7703623588103197E-2</c:v>
                </c:pt>
                <c:pt idx="10">
                  <c:v>4.1539267298078109E-2</c:v>
                </c:pt>
                <c:pt idx="11">
                  <c:v>2.4984591521749699E-2</c:v>
                </c:pt>
                <c:pt idx="12">
                  <c:v>2.2030057817468807E-2</c:v>
                </c:pt>
                <c:pt idx="13">
                  <c:v>9.6434949289487815E-3</c:v>
                </c:pt>
                <c:pt idx="14">
                  <c:v>2.0110356853160427E-2</c:v>
                </c:pt>
                <c:pt idx="15">
                  <c:v>1.6502325460236333E-2</c:v>
                </c:pt>
                <c:pt idx="16">
                  <c:v>1.3181778244540698E-2</c:v>
                </c:pt>
                <c:pt idx="17">
                  <c:v>1.4816593936791911E-2</c:v>
                </c:pt>
                <c:pt idx="18">
                  <c:v>2.8978386725879712E-2</c:v>
                </c:pt>
                <c:pt idx="19">
                  <c:v>3.1517825205729988E-2</c:v>
                </c:pt>
                <c:pt idx="20">
                  <c:v>3.1825870743194429E-2</c:v>
                </c:pt>
                <c:pt idx="21">
                  <c:v>3.014186981900524E-2</c:v>
                </c:pt>
                <c:pt idx="22">
                  <c:v>1.9760702034874233E-2</c:v>
                </c:pt>
                <c:pt idx="23">
                  <c:v>1.9559878841822753E-2</c:v>
                </c:pt>
                <c:pt idx="24">
                  <c:v>2.2349477289312469E-2</c:v>
                </c:pt>
                <c:pt idx="25">
                  <c:v>1.8659831005232164E-2</c:v>
                </c:pt>
                <c:pt idx="26">
                  <c:v>1.1573169260922889E-2</c:v>
                </c:pt>
                <c:pt idx="27">
                  <c:v>1.3599151021507661E-2</c:v>
                </c:pt>
                <c:pt idx="28">
                  <c:v>8.6706921539196902E-3</c:v>
                </c:pt>
                <c:pt idx="29">
                  <c:v>9.0744146719945462E-4</c:v>
                </c:pt>
                <c:pt idx="30">
                  <c:v>2.2779076991380931E-2</c:v>
                </c:pt>
                <c:pt idx="31">
                  <c:v>3.7786236682770147E-2</c:v>
                </c:pt>
                <c:pt idx="32">
                  <c:v>3.5803722786313719E-2</c:v>
                </c:pt>
                <c:pt idx="33">
                  <c:v>2.0386506607436239E-2</c:v>
                </c:pt>
                <c:pt idx="34">
                  <c:v>3.0403032817547082E-2</c:v>
                </c:pt>
                <c:pt idx="35">
                  <c:v>2.0054016278981068E-2</c:v>
                </c:pt>
                <c:pt idx="36">
                  <c:v>3.1140592253632748E-2</c:v>
                </c:pt>
                <c:pt idx="37">
                  <c:v>4.1457939251087428E-2</c:v>
                </c:pt>
                <c:pt idx="38">
                  <c:v>3.2903845082618233E-2</c:v>
                </c:pt>
                <c:pt idx="39">
                  <c:v>2.4199129800343666E-2</c:v>
                </c:pt>
                <c:pt idx="40">
                  <c:v>2.6435191622945053E-2</c:v>
                </c:pt>
                <c:pt idx="41">
                  <c:v>2.1427985461197396E-2</c:v>
                </c:pt>
                <c:pt idx="42">
                  <c:v>2.1452271547359514E-2</c:v>
                </c:pt>
                <c:pt idx="43">
                  <c:v>1.3221468112959656E-2</c:v>
                </c:pt>
                <c:pt idx="44">
                  <c:v>1.6439525603240135E-3</c:v>
                </c:pt>
                <c:pt idx="45">
                  <c:v>-5.383104775746328E-3</c:v>
                </c:pt>
                <c:pt idx="46">
                  <c:v>4.8704262050842662E-3</c:v>
                </c:pt>
                <c:pt idx="47">
                  <c:v>1.9756025467257965E-2</c:v>
                </c:pt>
                <c:pt idx="48">
                  <c:v>2.4781141171816179E-2</c:v>
                </c:pt>
                <c:pt idx="49">
                  <c:v>3.1118667607767714E-2</c:v>
                </c:pt>
                <c:pt idx="50">
                  <c:v>3.6195218075308677E-2</c:v>
                </c:pt>
                <c:pt idx="51">
                  <c:v>2.5800132739093762E-2</c:v>
                </c:pt>
                <c:pt idx="52">
                  <c:v>1.6020088531667698E-2</c:v>
                </c:pt>
                <c:pt idx="53">
                  <c:v>1.9345822109435362E-2</c:v>
                </c:pt>
                <c:pt idx="54">
                  <c:v>1.4827860365299594E-2</c:v>
                </c:pt>
                <c:pt idx="55">
                  <c:v>1.4193167655540018E-2</c:v>
                </c:pt>
                <c:pt idx="56">
                  <c:v>2.1304387106917622E-2</c:v>
                </c:pt>
                <c:pt idx="57">
                  <c:v>1.9779011948374281E-2</c:v>
                </c:pt>
                <c:pt idx="58">
                  <c:v>1.8110264316201663E-2</c:v>
                </c:pt>
                <c:pt idx="59">
                  <c:v>1.8150044826003908E-2</c:v>
                </c:pt>
                <c:pt idx="60">
                  <c:v>1.7636444865887002E-2</c:v>
                </c:pt>
                <c:pt idx="61">
                  <c:v>1.7162198305855192E-2</c:v>
                </c:pt>
                <c:pt idx="62">
                  <c:v>2.1066762760154623E-2</c:v>
                </c:pt>
                <c:pt idx="63">
                  <c:v>1.8898232629613654E-2</c:v>
                </c:pt>
                <c:pt idx="64">
                  <c:v>1.6646338041281572E-2</c:v>
                </c:pt>
                <c:pt idx="65">
                  <c:v>1.5149560805419959E-2</c:v>
                </c:pt>
                <c:pt idx="66">
                  <c:v>7.9367857861969426E-3</c:v>
                </c:pt>
                <c:pt idx="67">
                  <c:v>3.1690721547057432E-3</c:v>
                </c:pt>
                <c:pt idx="68">
                  <c:v>1.1751793883701955E-2</c:v>
                </c:pt>
                <c:pt idx="69">
                  <c:v>2.5095944123555425E-2</c:v>
                </c:pt>
                <c:pt idx="70">
                  <c:v>2.7006409782556862E-2</c:v>
                </c:pt>
                <c:pt idx="71">
                  <c:v>1.0486067586464642E-2</c:v>
                </c:pt>
                <c:pt idx="72">
                  <c:v>-5.4952263953855773E-4</c:v>
                </c:pt>
                <c:pt idx="73">
                  <c:v>-1.3354659323809193E-2</c:v>
                </c:pt>
                <c:pt idx="74">
                  <c:v>-1.9705155474069702E-2</c:v>
                </c:pt>
                <c:pt idx="75">
                  <c:v>-1.9501622453803602E-2</c:v>
                </c:pt>
                <c:pt idx="76">
                  <c:v>-1.9606992809255264E-2</c:v>
                </c:pt>
                <c:pt idx="77">
                  <c:v>1.4794101072050925E-3</c:v>
                </c:pt>
                <c:pt idx="78">
                  <c:v>1.9992549199606025E-2</c:v>
                </c:pt>
                <c:pt idx="79">
                  <c:v>2.5458470833356728E-2</c:v>
                </c:pt>
                <c:pt idx="80">
                  <c:v>2.779820464443894E-2</c:v>
                </c:pt>
                <c:pt idx="81">
                  <c:v>2.975111789563667E-2</c:v>
                </c:pt>
                <c:pt idx="82">
                  <c:v>3.3167379151944454E-2</c:v>
                </c:pt>
                <c:pt idx="83">
                  <c:v>2.4388594839708455E-2</c:v>
                </c:pt>
                <c:pt idx="84">
                  <c:v>2.6233737326692097E-2</c:v>
                </c:pt>
                <c:pt idx="85">
                  <c:v>2.7245385722155957E-2</c:v>
                </c:pt>
                <c:pt idx="86">
                  <c:v>1.8824636299594966E-2</c:v>
                </c:pt>
                <c:pt idx="87">
                  <c:v>2.1309708294298124E-2</c:v>
                </c:pt>
                <c:pt idx="88">
                  <c:v>2.4174151242817743E-2</c:v>
                </c:pt>
                <c:pt idx="89">
                  <c:v>1.4378507409656294E-2</c:v>
                </c:pt>
                <c:pt idx="90">
                  <c:v>1.2864943915095184E-2</c:v>
                </c:pt>
                <c:pt idx="91">
                  <c:v>7.2642326123995016E-3</c:v>
                </c:pt>
                <c:pt idx="92">
                  <c:v>-2.8680116895072327E-3</c:v>
                </c:pt>
                <c:pt idx="93">
                  <c:v>1.5656960086307459E-2</c:v>
                </c:pt>
                <c:pt idx="94">
                  <c:v>2.1379084709398644E-2</c:v>
                </c:pt>
                <c:pt idx="95">
                  <c:v>2.7660269452857378E-2</c:v>
                </c:pt>
                <c:pt idx="96">
                  <c:v>2.9203547774949268E-2</c:v>
                </c:pt>
                <c:pt idx="97">
                  <c:v>2.8079816646527256E-2</c:v>
                </c:pt>
                <c:pt idx="98">
                  <c:v>2.4028175574440702E-2</c:v>
                </c:pt>
                <c:pt idx="99">
                  <c:v>1.376706688348972E-2</c:v>
                </c:pt>
                <c:pt idx="100">
                  <c:v>1.2004180975071055E-2</c:v>
                </c:pt>
                <c:pt idx="101">
                  <c:v>1.5193404842245295E-2</c:v>
                </c:pt>
                <c:pt idx="102">
                  <c:v>1.2802647984520688E-2</c:v>
                </c:pt>
                <c:pt idx="103">
                  <c:v>1.1190815691404898E-2</c:v>
                </c:pt>
                <c:pt idx="104">
                  <c:v>4.4062644181634969E-3</c:v>
                </c:pt>
                <c:pt idx="105">
                  <c:v>8.7047265050046452E-3</c:v>
                </c:pt>
                <c:pt idx="106">
                  <c:v>2.4451544690686777E-3</c:v>
                </c:pt>
                <c:pt idx="107">
                  <c:v>-4.7332920134348644E-3</c:v>
                </c:pt>
                <c:pt idx="108">
                  <c:v>-1.1125697008188218E-2</c:v>
                </c:pt>
                <c:pt idx="109">
                  <c:v>-2.0503497307198471E-2</c:v>
                </c:pt>
                <c:pt idx="110">
                  <c:v>-9.8952059455813535E-3</c:v>
                </c:pt>
                <c:pt idx="111">
                  <c:v>-3.6794232653761805E-3</c:v>
                </c:pt>
                <c:pt idx="112">
                  <c:v>1.206476728878636E-3</c:v>
                </c:pt>
                <c:pt idx="113">
                  <c:v>3.1058732087017038E-3</c:v>
                </c:pt>
                <c:pt idx="114">
                  <c:v>2.3031957565755601E-3</c:v>
                </c:pt>
                <c:pt idx="115">
                  <c:v>5.6495407225400918E-3</c:v>
                </c:pt>
                <c:pt idx="116">
                  <c:v>8.4063338858171299E-3</c:v>
                </c:pt>
                <c:pt idx="117">
                  <c:v>1.0895603683592103E-2</c:v>
                </c:pt>
                <c:pt idx="118">
                  <c:v>1.4465343817761545E-2</c:v>
                </c:pt>
                <c:pt idx="119">
                  <c:v>1.680300063958784E-2</c:v>
                </c:pt>
                <c:pt idx="120">
                  <c:v>1.4056206902585577E-2</c:v>
                </c:pt>
                <c:pt idx="121">
                  <c:v>2.0008356152132478E-2</c:v>
                </c:pt>
                <c:pt idx="122">
                  <c:v>2.4160716022421758E-2</c:v>
                </c:pt>
                <c:pt idx="123">
                  <c:v>2.5770850934111245E-2</c:v>
                </c:pt>
                <c:pt idx="124">
                  <c:v>2.2242651983235495E-2</c:v>
                </c:pt>
                <c:pt idx="125">
                  <c:v>1.9729105295031024E-2</c:v>
                </c:pt>
                <c:pt idx="126">
                  <c:v>1.127232991265692E-2</c:v>
                </c:pt>
                <c:pt idx="127">
                  <c:v>6.4134888061926354E-3</c:v>
                </c:pt>
                <c:pt idx="128">
                  <c:v>6.019679467775374E-3</c:v>
                </c:pt>
                <c:pt idx="129">
                  <c:v>4.1943428188653264E-3</c:v>
                </c:pt>
                <c:pt idx="130">
                  <c:v>8.4438544249703096E-3</c:v>
                </c:pt>
                <c:pt idx="131">
                  <c:v>1.238183334990306E-2</c:v>
                </c:pt>
                <c:pt idx="132">
                  <c:v>1.4519561180205365E-2</c:v>
                </c:pt>
                <c:pt idx="133">
                  <c:v>2.02684139828615E-2</c:v>
                </c:pt>
                <c:pt idx="134">
                  <c:v>2.1897665866153826E-2</c:v>
                </c:pt>
                <c:pt idx="135">
                  <c:v>2.3181664875420616E-2</c:v>
                </c:pt>
                <c:pt idx="136">
                  <c:v>2.2010096740221696E-2</c:v>
                </c:pt>
                <c:pt idx="137">
                  <c:v>2.4093481164707997E-2</c:v>
                </c:pt>
                <c:pt idx="138">
                  <c:v>1.5056786298431213E-2</c:v>
                </c:pt>
                <c:pt idx="139">
                  <c:v>1.5150233810574676E-2</c:v>
                </c:pt>
                <c:pt idx="140">
                  <c:v>1.9335232606807917E-2</c:v>
                </c:pt>
                <c:pt idx="141">
                  <c:v>2.6345289817411688E-2</c:v>
                </c:pt>
                <c:pt idx="142">
                  <c:v>2.4636088936012435E-2</c:v>
                </c:pt>
                <c:pt idx="143">
                  <c:v>2.7401169390958602E-2</c:v>
                </c:pt>
                <c:pt idx="144">
                  <c:v>2.7513921974930966E-2</c:v>
                </c:pt>
                <c:pt idx="145">
                  <c:v>2.8861947015724976E-2</c:v>
                </c:pt>
                <c:pt idx="146">
                  <c:v>2.7525385522348955E-2</c:v>
                </c:pt>
                <c:pt idx="147">
                  <c:v>2.4296688855289128E-2</c:v>
                </c:pt>
                <c:pt idx="148">
                  <c:v>1.5498675780755811E-2</c:v>
                </c:pt>
                <c:pt idx="149">
                  <c:v>1.2114017449492254E-2</c:v>
                </c:pt>
                <c:pt idx="150">
                  <c:v>8.7216138880608085E-3</c:v>
                </c:pt>
                <c:pt idx="151">
                  <c:v>3.9603421374034831E-3</c:v>
                </c:pt>
                <c:pt idx="152">
                  <c:v>6.7528070541946761E-3</c:v>
                </c:pt>
                <c:pt idx="153">
                  <c:v>1.5634124225907708E-2</c:v>
                </c:pt>
                <c:pt idx="154">
                  <c:v>1.5738351281916252E-2</c:v>
                </c:pt>
                <c:pt idx="155">
                  <c:v>1.7492924946236332E-2</c:v>
                </c:pt>
                <c:pt idx="156">
                  <c:v>1.4844494814000964E-2</c:v>
                </c:pt>
                <c:pt idx="157">
                  <c:v>1.2380495515349477E-2</c:v>
                </c:pt>
                <c:pt idx="158">
                  <c:v>6.0735838972036937E-3</c:v>
                </c:pt>
                <c:pt idx="159">
                  <c:v>5.4328964720877782E-3</c:v>
                </c:pt>
                <c:pt idx="160">
                  <c:v>8.2708603574659367E-3</c:v>
                </c:pt>
                <c:pt idx="161">
                  <c:v>1.1148542945276674E-2</c:v>
                </c:pt>
                <c:pt idx="162">
                  <c:v>1.7349779246377928E-2</c:v>
                </c:pt>
                <c:pt idx="163">
                  <c:v>2.0862888358003762E-2</c:v>
                </c:pt>
                <c:pt idx="164">
                  <c:v>1.9045242272405671E-2</c:v>
                </c:pt>
                <c:pt idx="165">
                  <c:v>1.4189058975157653E-2</c:v>
                </c:pt>
                <c:pt idx="166">
                  <c:v>1.3120507798847436E-2</c:v>
                </c:pt>
                <c:pt idx="167">
                  <c:v>1.6883415354215225E-2</c:v>
                </c:pt>
                <c:pt idx="168">
                  <c:v>1.8814035377595406E-2</c:v>
                </c:pt>
                <c:pt idx="169">
                  <c:v>1.8737237335205492E-2</c:v>
                </c:pt>
                <c:pt idx="170">
                  <c:v>1.1613806100727153E-2</c:v>
                </c:pt>
                <c:pt idx="171">
                  <c:v>7.7598483532848039E-3</c:v>
                </c:pt>
                <c:pt idx="172">
                  <c:v>6.692854920167024E-3</c:v>
                </c:pt>
                <c:pt idx="173">
                  <c:v>8.7235502600648829E-3</c:v>
                </c:pt>
                <c:pt idx="174">
                  <c:v>1.3717925574338485E-2</c:v>
                </c:pt>
                <c:pt idx="175">
                  <c:v>1.2129963871065241E-2</c:v>
                </c:pt>
                <c:pt idx="176">
                  <c:v>8.413575552337571E-3</c:v>
                </c:pt>
                <c:pt idx="177">
                  <c:v>4.8017172013390397E-3</c:v>
                </c:pt>
                <c:pt idx="178">
                  <c:v>4.6390567120822013E-3</c:v>
                </c:pt>
                <c:pt idx="179">
                  <c:v>9.3224607602411247E-3</c:v>
                </c:pt>
                <c:pt idx="180">
                  <c:v>-2.8285120033872957E-3</c:v>
                </c:pt>
                <c:pt idx="181">
                  <c:v>-2.1100692265514143E-2</c:v>
                </c:pt>
                <c:pt idx="182">
                  <c:v>-2.5224795414238166E-2</c:v>
                </c:pt>
                <c:pt idx="183">
                  <c:v>-1.4450982564828574E-2</c:v>
                </c:pt>
                <c:pt idx="184">
                  <c:v>2.9518429733557117E-3</c:v>
                </c:pt>
                <c:pt idx="185">
                  <c:v>1.6264148307766124E-2</c:v>
                </c:pt>
                <c:pt idx="186">
                  <c:v>1.6976279099535807E-2</c:v>
                </c:pt>
                <c:pt idx="187">
                  <c:v>1.5885659023797238E-2</c:v>
                </c:pt>
                <c:pt idx="188">
                  <c:v>1.7692176710483176E-2</c:v>
                </c:pt>
                <c:pt idx="189">
                  <c:v>1.6670310066275507E-2</c:v>
                </c:pt>
                <c:pt idx="190">
                  <c:v>1.1873710311181673E-2</c:v>
                </c:pt>
                <c:pt idx="191">
                  <c:v>1.7310672815042727E-2</c:v>
                </c:pt>
                <c:pt idx="192">
                  <c:v>1.6806516868393073E-2</c:v>
                </c:pt>
                <c:pt idx="193">
                  <c:v>1.1061155506007614E-2</c:v>
                </c:pt>
                <c:pt idx="194">
                  <c:v>8.856773669363438E-3</c:v>
                </c:pt>
                <c:pt idx="195">
                  <c:v>4.8782584624789127E-3</c:v>
                </c:pt>
                <c:pt idx="196">
                  <c:v>3.8933375125478342E-3</c:v>
                </c:pt>
                <c:pt idx="197">
                  <c:v>9.5906979056095132E-3</c:v>
                </c:pt>
                <c:pt idx="198">
                  <c:v>1.1072888183836671E-2</c:v>
                </c:pt>
                <c:pt idx="199">
                  <c:v>1.4027477693139279E-2</c:v>
                </c:pt>
                <c:pt idx="200">
                  <c:v>1.7406396626234999E-2</c:v>
                </c:pt>
                <c:pt idx="201">
                  <c:v>1.2042297533706448E-2</c:v>
                </c:pt>
                <c:pt idx="202">
                  <c:v>1.4122009330971519E-2</c:v>
                </c:pt>
                <c:pt idx="203">
                  <c:v>1.5905540138711149E-2</c:v>
                </c:pt>
                <c:pt idx="204">
                  <c:v>1.526180082666162E-2</c:v>
                </c:pt>
                <c:pt idx="205">
                  <c:v>5.2700796997602328E-3</c:v>
                </c:pt>
                <c:pt idx="206">
                  <c:v>-8.8748271328165096E-4</c:v>
                </c:pt>
                <c:pt idx="207">
                  <c:v>3.5974285251372251E-4</c:v>
                </c:pt>
                <c:pt idx="208">
                  <c:v>4.6109077795120079E-4</c:v>
                </c:pt>
                <c:pt idx="209">
                  <c:v>6.0125767839367406E-3</c:v>
                </c:pt>
                <c:pt idx="210">
                  <c:v>5.1933125665537538E-4</c:v>
                </c:pt>
                <c:pt idx="211">
                  <c:v>7.7754508928562505E-3</c:v>
                </c:pt>
                <c:pt idx="212">
                  <c:v>9.8808964072538696E-3</c:v>
                </c:pt>
                <c:pt idx="213">
                  <c:v>1.6578378545495154E-2</c:v>
                </c:pt>
                <c:pt idx="214">
                  <c:v>2.0291274167021589E-2</c:v>
                </c:pt>
                <c:pt idx="215">
                  <c:v>1.2664211574830997E-2</c:v>
                </c:pt>
                <c:pt idx="216">
                  <c:v>1.0934118803652693E-2</c:v>
                </c:pt>
                <c:pt idx="217">
                  <c:v>1.4568208539679217E-2</c:v>
                </c:pt>
                <c:pt idx="218">
                  <c:v>1.5306119855102329E-2</c:v>
                </c:pt>
                <c:pt idx="219">
                  <c:v>1.4362711943289419E-2</c:v>
                </c:pt>
                <c:pt idx="220">
                  <c:v>1.0326877872410156E-2</c:v>
                </c:pt>
                <c:pt idx="221">
                  <c:v>6.9056665246132187E-3</c:v>
                </c:pt>
                <c:pt idx="222">
                  <c:v>1.2149862909296205E-2</c:v>
                </c:pt>
                <c:pt idx="223">
                  <c:v>1.02234367024574E-2</c:v>
                </c:pt>
                <c:pt idx="224">
                  <c:v>8.8022407370875744E-3</c:v>
                </c:pt>
                <c:pt idx="225">
                  <c:v>-1.0720627430208851E-2</c:v>
                </c:pt>
                <c:pt idx="226">
                  <c:v>-9.937547197677743E-2</c:v>
                </c:pt>
                <c:pt idx="227">
                  <c:v>-8.8807126378508405E-3</c:v>
                </c:pt>
                <c:pt idx="228">
                  <c:v>1.5521866370835635E-2</c:v>
                </c:pt>
                <c:pt idx="229">
                  <c:v>3.5790783871348708E-2</c:v>
                </c:pt>
                <c:pt idx="230">
                  <c:v>3.3565544397695879E-2</c:v>
                </c:pt>
                <c:pt idx="231">
                  <c:v>2.5895157956005388E-2</c:v>
                </c:pt>
                <c:pt idx="232">
                  <c:v>2.932462806431646E-2</c:v>
                </c:pt>
                <c:pt idx="233">
                  <c:v>2.5325129326657869E-2</c:v>
                </c:pt>
                <c:pt idx="234">
                  <c:v>2.3730368130074231E-2</c:v>
                </c:pt>
                <c:pt idx="235">
                  <c:v>1.7416571152893745E-2</c:v>
                </c:pt>
                <c:pt idx="236">
                  <c:v>7.8949764991533833E-3</c:v>
                </c:pt>
                <c:pt idx="237">
                  <c:v>1.1147447900831109E-2</c:v>
                </c:pt>
                <c:pt idx="238">
                  <c:v>8.0709693312961406E-3</c:v>
                </c:pt>
                <c:pt idx="239">
                  <c:v>3.6881862261963771E-3</c:v>
                </c:pt>
                <c:pt idx="240">
                  <c:v>3.3162080606361499E-3</c:v>
                </c:pt>
                <c:pt idx="241">
                  <c:v>4.9614064680980619E-3</c:v>
                </c:pt>
                <c:pt idx="242">
                  <c:v>7.8449584167905595E-3</c:v>
                </c:pt>
                <c:pt idx="243">
                  <c:v>7.704577047904948E-3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97-4465-B0C1-C29DD635BDE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NGDPRSAXDCCAQ!$F$13:$F$256</c:f>
              <c:numCache>
                <c:formatCode>0.00%</c:formatCode>
                <c:ptCount val="244"/>
                <c:pt idx="0">
                  <c:v>6.4413489832715332E-3</c:v>
                </c:pt>
                <c:pt idx="1">
                  <c:v>9.0726446371545144E-3</c:v>
                </c:pt>
                <c:pt idx="2">
                  <c:v>5.1337741183421493E-4</c:v>
                </c:pt>
                <c:pt idx="3">
                  <c:v>-1.8605844727807019E-3</c:v>
                </c:pt>
                <c:pt idx="4">
                  <c:v>-1.3870892610787888E-2</c:v>
                </c:pt>
                <c:pt idx="5">
                  <c:v>9.9743806932115486E-3</c:v>
                </c:pt>
                <c:pt idx="6">
                  <c:v>6.2968750478082924E-3</c:v>
                </c:pt>
                <c:pt idx="7">
                  <c:v>1.0497762828567403E-2</c:v>
                </c:pt>
                <c:pt idx="8">
                  <c:v>1.6047147475420909E-2</c:v>
                </c:pt>
                <c:pt idx="9">
                  <c:v>1.7427072820524137E-2</c:v>
                </c:pt>
                <c:pt idx="10">
                  <c:v>3.0410683721601828E-2</c:v>
                </c:pt>
                <c:pt idx="11">
                  <c:v>1.3810504512928201E-2</c:v>
                </c:pt>
                <c:pt idx="12">
                  <c:v>1.6914097140372286E-2</c:v>
                </c:pt>
                <c:pt idx="13">
                  <c:v>-3.355094220945265E-3</c:v>
                </c:pt>
                <c:pt idx="14">
                  <c:v>8.2042666177968293E-3</c:v>
                </c:pt>
                <c:pt idx="15">
                  <c:v>-1.1915470589107802E-3</c:v>
                </c:pt>
                <c:pt idx="16">
                  <c:v>-1.7863055015783225E-2</c:v>
                </c:pt>
                <c:pt idx="17">
                  <c:v>-2.3897216291207224E-2</c:v>
                </c:pt>
                <c:pt idx="18">
                  <c:v>-1.5489296860860313E-2</c:v>
                </c:pt>
                <c:pt idx="19">
                  <c:v>-1.0688375629385405E-2</c:v>
                </c:pt>
                <c:pt idx="20">
                  <c:v>-1.0414556607923342E-2</c:v>
                </c:pt>
                <c:pt idx="21">
                  <c:v>-1.3977973427029555E-3</c:v>
                </c:pt>
                <c:pt idx="22">
                  <c:v>-8.853544617054343E-3</c:v>
                </c:pt>
                <c:pt idx="23">
                  <c:v>-3.0412996345388077E-3</c:v>
                </c:pt>
                <c:pt idx="24">
                  <c:v>6.5316064805083229E-3</c:v>
                </c:pt>
                <c:pt idx="25">
                  <c:v>2.8861959281150096E-3</c:v>
                </c:pt>
                <c:pt idx="26">
                  <c:v>-1.1899099319109263E-2</c:v>
                </c:pt>
                <c:pt idx="27">
                  <c:v>-1.1926565252746713E-2</c:v>
                </c:pt>
                <c:pt idx="28">
                  <c:v>-2.3265581453646322E-2</c:v>
                </c:pt>
                <c:pt idx="29">
                  <c:v>-4.3348523710149078E-2</c:v>
                </c:pt>
                <c:pt idx="30">
                  <c:v>-2.3100531378119515E-2</c:v>
                </c:pt>
                <c:pt idx="31">
                  <c:v>-6.919684740922194E-3</c:v>
                </c:pt>
                <c:pt idx="32">
                  <c:v>-7.4238725419741858E-3</c:v>
                </c:pt>
                <c:pt idx="33">
                  <c:v>-1.6863019671318868E-2</c:v>
                </c:pt>
                <c:pt idx="34">
                  <c:v>6.0923673266097822E-3</c:v>
                </c:pt>
                <c:pt idx="35">
                  <c:v>-3.4945668112296158E-4</c:v>
                </c:pt>
                <c:pt idx="36">
                  <c:v>2.0310967388614376E-2</c:v>
                </c:pt>
                <c:pt idx="37">
                  <c:v>4.7648163113697573E-2</c:v>
                </c:pt>
                <c:pt idx="38">
                  <c:v>3.9953328952771372E-2</c:v>
                </c:pt>
                <c:pt idx="39">
                  <c:v>2.9405464981314466E-2</c:v>
                </c:pt>
                <c:pt idx="40">
                  <c:v>3.8606032254453249E-2</c:v>
                </c:pt>
                <c:pt idx="41">
                  <c:v>3.7457189280806436E-2</c:v>
                </c:pt>
                <c:pt idx="42">
                  <c:v>2.5272764306064621E-2</c:v>
                </c:pt>
                <c:pt idx="43">
                  <c:v>2.0329537157169453E-2</c:v>
                </c:pt>
                <c:pt idx="44">
                  <c:v>6.6014043854423221E-5</c:v>
                </c:pt>
                <c:pt idx="45">
                  <c:v>-2.6213814150606529E-2</c:v>
                </c:pt>
                <c:pt idx="46">
                  <c:v>-2.3395529143997895E-2</c:v>
                </c:pt>
                <c:pt idx="47">
                  <c:v>-1.6356668261223617E-2</c:v>
                </c:pt>
                <c:pt idx="48">
                  <c:v>-2.1711281263522286E-2</c:v>
                </c:pt>
                <c:pt idx="49">
                  <c:v>-1.2604553087406045E-2</c:v>
                </c:pt>
                <c:pt idx="50">
                  <c:v>-5.2695812634884209E-4</c:v>
                </c:pt>
                <c:pt idx="51">
                  <c:v>-2.101886803455244E-3</c:v>
                </c:pt>
                <c:pt idx="52">
                  <c:v>-1.2887455531387371E-3</c:v>
                </c:pt>
                <c:pt idx="53">
                  <c:v>1.4452054385150515E-2</c:v>
                </c:pt>
                <c:pt idx="54">
                  <c:v>1.4050470741173271E-2</c:v>
                </c:pt>
                <c:pt idx="55">
                  <c:v>1.1668123981276368E-2</c:v>
                </c:pt>
                <c:pt idx="56">
                  <c:v>2.0375316016490341E-2</c:v>
                </c:pt>
                <c:pt idx="57">
                  <c:v>1.3802217894250735E-2</c:v>
                </c:pt>
                <c:pt idx="58">
                  <c:v>2.5350409869013824E-3</c:v>
                </c:pt>
                <c:pt idx="59">
                  <c:v>3.3048822256924737E-3</c:v>
                </c:pt>
                <c:pt idx="60">
                  <c:v>4.5696294943642357E-3</c:v>
                </c:pt>
                <c:pt idx="61">
                  <c:v>-1.2336859695342151E-3</c:v>
                </c:pt>
                <c:pt idx="62">
                  <c:v>7.2807659548417281E-3</c:v>
                </c:pt>
                <c:pt idx="63">
                  <c:v>8.8959682437115273E-3</c:v>
                </c:pt>
                <c:pt idx="64">
                  <c:v>2.7695394126818762E-3</c:v>
                </c:pt>
                <c:pt idx="65">
                  <c:v>2.4736545566912405E-3</c:v>
                </c:pt>
                <c:pt idx="66">
                  <c:v>-5.423642223029268E-3</c:v>
                </c:pt>
                <c:pt idx="67">
                  <c:v>-1.6279523584235567E-2</c:v>
                </c:pt>
                <c:pt idx="68">
                  <c:v>-1.0949297804210723E-2</c:v>
                </c:pt>
                <c:pt idx="69">
                  <c:v>2.8347389935734491E-3</c:v>
                </c:pt>
                <c:pt idx="70">
                  <c:v>2.97506966564276E-3</c:v>
                </c:pt>
                <c:pt idx="71">
                  <c:v>-1.3774376812422884E-2</c:v>
                </c:pt>
                <c:pt idx="72">
                  <c:v>-2.5698468724840828E-2</c:v>
                </c:pt>
                <c:pt idx="73">
                  <c:v>-4.4665903413372066E-2</c:v>
                </c:pt>
                <c:pt idx="74">
                  <c:v>-5.835322103976559E-2</c:v>
                </c:pt>
                <c:pt idx="75">
                  <c:v>-6.8739349642768288E-2</c:v>
                </c:pt>
                <c:pt idx="76">
                  <c:v>-8.5288772387611567E-2</c:v>
                </c:pt>
                <c:pt idx="77">
                  <c:v>-8.0887213305120609E-2</c:v>
                </c:pt>
                <c:pt idx="78">
                  <c:v>-7.0516225553942435E-2</c:v>
                </c:pt>
                <c:pt idx="79">
                  <c:v>-6.2128947099387211E-2</c:v>
                </c:pt>
                <c:pt idx="80">
                  <c:v>-5.4317522363481752E-2</c:v>
                </c:pt>
                <c:pt idx="81">
                  <c:v>-3.3567286912487893E-2</c:v>
                </c:pt>
                <c:pt idx="82">
                  <c:v>-5.5481463019865229E-3</c:v>
                </c:pt>
                <c:pt idx="83">
                  <c:v>6.5773877380506107E-3</c:v>
                </c:pt>
                <c:pt idx="84">
                  <c:v>3.2215068534427127E-2</c:v>
                </c:pt>
                <c:pt idx="85">
                  <c:v>4.4324281189027426E-2</c:v>
                </c:pt>
                <c:pt idx="86">
                  <c:v>4.0063230987815279E-2</c:v>
                </c:pt>
                <c:pt idx="87">
                  <c:v>4.6321097244315101E-2</c:v>
                </c:pt>
                <c:pt idx="88">
                  <c:v>4.7935953256569519E-2</c:v>
                </c:pt>
                <c:pt idx="89">
                  <c:v>3.0947872457580017E-2</c:v>
                </c:pt>
                <c:pt idx="90">
                  <c:v>2.1182409100179322E-2</c:v>
                </c:pt>
                <c:pt idx="91">
                  <c:v>1.3763467389594108E-2</c:v>
                </c:pt>
                <c:pt idx="92">
                  <c:v>-8.6733638765003063E-3</c:v>
                </c:pt>
                <c:pt idx="93">
                  <c:v>1.1944968629218344E-4</c:v>
                </c:pt>
                <c:pt idx="94">
                  <c:v>7.284859262039145E-3</c:v>
                </c:pt>
                <c:pt idx="95">
                  <c:v>9.83053338596096E-3</c:v>
                </c:pt>
                <c:pt idx="96">
                  <c:v>9.96299249571031E-3</c:v>
                </c:pt>
                <c:pt idx="97">
                  <c:v>2.1602571896839562E-2</c:v>
                </c:pt>
                <c:pt idx="98">
                  <c:v>2.2266678186045885E-2</c:v>
                </c:pt>
                <c:pt idx="99">
                  <c:v>1.7648301280638767E-2</c:v>
                </c:pt>
                <c:pt idx="100">
                  <c:v>2.7713600582814912E-2</c:v>
                </c:pt>
                <c:pt idx="101">
                  <c:v>2.6126151678477427E-2</c:v>
                </c:pt>
                <c:pt idx="102">
                  <c:v>2.289729973448007E-2</c:v>
                </c:pt>
                <c:pt idx="103">
                  <c:v>1.6543130444930165E-2</c:v>
                </c:pt>
                <c:pt idx="104">
                  <c:v>-4.3840162118002901E-4</c:v>
                </c:pt>
                <c:pt idx="105">
                  <c:v>-4.2819737170092242E-3</c:v>
                </c:pt>
                <c:pt idx="106">
                  <c:v>-1.8988130328494779E-2</c:v>
                </c:pt>
                <c:pt idx="107">
                  <c:v>-3.1578000956761776E-2</c:v>
                </c:pt>
                <c:pt idx="108">
                  <c:v>-4.8251338295464241E-2</c:v>
                </c:pt>
                <c:pt idx="109">
                  <c:v>-6.9925538312264335E-2</c:v>
                </c:pt>
                <c:pt idx="110">
                  <c:v>-6.8780428403156679E-2</c:v>
                </c:pt>
                <c:pt idx="111">
                  <c:v>-7.2544796707091019E-2</c:v>
                </c:pt>
                <c:pt idx="112">
                  <c:v>-7.3328012343979676E-2</c:v>
                </c:pt>
                <c:pt idx="113">
                  <c:v>-7.8532490606128325E-2</c:v>
                </c:pt>
                <c:pt idx="114">
                  <c:v>-7.6589642920819379E-2</c:v>
                </c:pt>
                <c:pt idx="115">
                  <c:v>-6.8725608902069912E-2</c:v>
                </c:pt>
                <c:pt idx="116">
                  <c:v>-6.0570070162512368E-2</c:v>
                </c:pt>
                <c:pt idx="117">
                  <c:v>-4.5220142442582545E-2</c:v>
                </c:pt>
                <c:pt idx="118">
                  <c:v>-3.5191022686309581E-2</c:v>
                </c:pt>
                <c:pt idx="119">
                  <c:v>-2.2641858267027581E-2</c:v>
                </c:pt>
                <c:pt idx="120">
                  <c:v>-1.6420783072180423E-2</c:v>
                </c:pt>
                <c:pt idx="121">
                  <c:v>-3.765969788631307E-3</c:v>
                </c:pt>
                <c:pt idx="122">
                  <c:v>9.5616177055379836E-3</c:v>
                </c:pt>
                <c:pt idx="123">
                  <c:v>1.904573299454837E-2</c:v>
                </c:pt>
                <c:pt idx="124">
                  <c:v>2.2821723668738914E-2</c:v>
                </c:pt>
                <c:pt idx="125">
                  <c:v>2.7490167926356834E-2</c:v>
                </c:pt>
                <c:pt idx="126">
                  <c:v>2.0585626271266033E-2</c:v>
                </c:pt>
                <c:pt idx="127">
                  <c:v>1.4095458384822512E-2</c:v>
                </c:pt>
                <c:pt idx="128">
                  <c:v>1.2567205178506624E-2</c:v>
                </c:pt>
                <c:pt idx="129">
                  <c:v>2.5110681212181518E-3</c:v>
                </c:pt>
                <c:pt idx="130">
                  <c:v>-1.664503441377585E-3</c:v>
                </c:pt>
                <c:pt idx="131">
                  <c:v>-3.7589606274457399E-3</c:v>
                </c:pt>
                <c:pt idx="132">
                  <c:v>-5.93723703779514E-3</c:v>
                </c:pt>
                <c:pt idx="133">
                  <c:v>-3.1819018956564804E-3</c:v>
                </c:pt>
                <c:pt idx="134">
                  <c:v>3.1117806368274881E-3</c:v>
                </c:pt>
                <c:pt idx="135">
                  <c:v>1.1133077322363905E-2</c:v>
                </c:pt>
                <c:pt idx="136">
                  <c:v>1.6272726366457935E-2</c:v>
                </c:pt>
                <c:pt idx="137">
                  <c:v>2.9343409332054371E-2</c:v>
                </c:pt>
                <c:pt idx="138">
                  <c:v>2.5110326506458946E-2</c:v>
                </c:pt>
                <c:pt idx="139">
                  <c:v>2.8338738479290138E-2</c:v>
                </c:pt>
                <c:pt idx="140">
                  <c:v>3.6165716044904705E-2</c:v>
                </c:pt>
                <c:pt idx="141">
                  <c:v>4.4067692839614647E-2</c:v>
                </c:pt>
                <c:pt idx="142">
                  <c:v>4.2498665051671658E-2</c:v>
                </c:pt>
                <c:pt idx="143">
                  <c:v>4.7715924881368998E-2</c:v>
                </c:pt>
                <c:pt idx="144">
                  <c:v>5.1267815819177276E-2</c:v>
                </c:pt>
                <c:pt idx="145">
                  <c:v>5.4690127109411568E-2</c:v>
                </c:pt>
                <c:pt idx="146">
                  <c:v>6.1481777292539785E-2</c:v>
                </c:pt>
                <c:pt idx="147">
                  <c:v>6.2583233100561131E-2</c:v>
                </c:pt>
                <c:pt idx="148">
                  <c:v>5.2904650269390396E-2</c:v>
                </c:pt>
                <c:pt idx="149">
                  <c:v>4.6769993014883049E-2</c:v>
                </c:pt>
                <c:pt idx="150">
                  <c:v>4.0283601294651472E-2</c:v>
                </c:pt>
                <c:pt idx="151">
                  <c:v>2.461848670654998E-2</c:v>
                </c:pt>
                <c:pt idx="152">
                  <c:v>1.6688188320705954E-2</c:v>
                </c:pt>
                <c:pt idx="153">
                  <c:v>1.8116506877921656E-2</c:v>
                </c:pt>
                <c:pt idx="154">
                  <c:v>1.111545321050933E-2</c:v>
                </c:pt>
                <c:pt idx="155">
                  <c:v>8.0684179980416992E-3</c:v>
                </c:pt>
                <c:pt idx="156">
                  <c:v>6.4188023960931595E-3</c:v>
                </c:pt>
                <c:pt idx="157">
                  <c:v>4.5042387466793787E-3</c:v>
                </c:pt>
                <c:pt idx="158">
                  <c:v>-1.7665746905064506E-3</c:v>
                </c:pt>
                <c:pt idx="159">
                  <c:v>8.811451942392079E-4</c:v>
                </c:pt>
                <c:pt idx="160">
                  <c:v>2.7625757293197051E-3</c:v>
                </c:pt>
                <c:pt idx="161">
                  <c:v>1.3948998074375663E-3</c:v>
                </c:pt>
                <c:pt idx="162">
                  <c:v>8.7422830552361663E-3</c:v>
                </c:pt>
                <c:pt idx="163">
                  <c:v>1.2160749589799069E-2</c:v>
                </c:pt>
                <c:pt idx="164">
                  <c:v>1.1513949665701073E-2</c:v>
                </c:pt>
                <c:pt idx="165">
                  <c:v>9.0891279999212315E-3</c:v>
                </c:pt>
                <c:pt idx="166">
                  <c:v>1.3853032202129523E-2</c:v>
                </c:pt>
                <c:pt idx="167">
                  <c:v>2.1972815073590501E-2</c:v>
                </c:pt>
                <c:pt idx="168">
                  <c:v>2.6978833260804302E-2</c:v>
                </c:pt>
                <c:pt idx="169">
                  <c:v>3.0886703087015244E-2</c:v>
                </c:pt>
                <c:pt idx="170">
                  <c:v>2.2705452330544107E-2</c:v>
                </c:pt>
                <c:pt idx="171">
                  <c:v>1.5846252529238436E-2</c:v>
                </c:pt>
                <c:pt idx="172">
                  <c:v>1.1899908448889995E-2</c:v>
                </c:pt>
                <c:pt idx="173">
                  <c:v>1.1407490405351606E-2</c:v>
                </c:pt>
                <c:pt idx="174">
                  <c:v>1.3059264200004028E-2</c:v>
                </c:pt>
                <c:pt idx="175">
                  <c:v>7.7129607102044417E-3</c:v>
                </c:pt>
                <c:pt idx="176">
                  <c:v>1.2856301429386985E-3</c:v>
                </c:pt>
                <c:pt idx="177">
                  <c:v>-6.227781935586707E-3</c:v>
                </c:pt>
                <c:pt idx="178">
                  <c:v>-7.711430390911822E-3</c:v>
                </c:pt>
                <c:pt idx="179">
                  <c:v>-4.7265331247948739E-3</c:v>
                </c:pt>
                <c:pt idx="180">
                  <c:v>-2.0575579841424885E-2</c:v>
                </c:pt>
                <c:pt idx="181">
                  <c:v>-4.6557379257032183E-2</c:v>
                </c:pt>
                <c:pt idx="182">
                  <c:v>-6.3098232259589437E-2</c:v>
                </c:pt>
                <c:pt idx="183">
                  <c:v>-6.3002453226251531E-2</c:v>
                </c:pt>
                <c:pt idx="184">
                  <c:v>-5.5770419541423477E-2</c:v>
                </c:pt>
                <c:pt idx="185">
                  <c:v>-4.7637520971082647E-2</c:v>
                </c:pt>
                <c:pt idx="186">
                  <c:v>-4.5611044197821804E-2</c:v>
                </c:pt>
                <c:pt idx="187">
                  <c:v>-4.3650869566771777E-2</c:v>
                </c:pt>
                <c:pt idx="188">
                  <c:v>-2.8069829979949223E-2</c:v>
                </c:pt>
                <c:pt idx="189">
                  <c:v>-1.0506265866315978E-2</c:v>
                </c:pt>
                <c:pt idx="190">
                  <c:v>-2.5162208855847856E-3</c:v>
                </c:pt>
                <c:pt idx="191">
                  <c:v>1.576936427799347E-2</c:v>
                </c:pt>
                <c:pt idx="192">
                  <c:v>2.5129917282286529E-2</c:v>
                </c:pt>
                <c:pt idx="193">
                  <c:v>2.0917479840111497E-2</c:v>
                </c:pt>
                <c:pt idx="194">
                  <c:v>1.7993138592790281E-2</c:v>
                </c:pt>
                <c:pt idx="195">
                  <c:v>1.0673124311271431E-2</c:v>
                </c:pt>
                <c:pt idx="196">
                  <c:v>2.6243729543213856E-3</c:v>
                </c:pt>
                <c:pt idx="197">
                  <c:v>4.6660082906095912E-3</c:v>
                </c:pt>
                <c:pt idx="198">
                  <c:v>5.725181449724559E-3</c:v>
                </c:pt>
                <c:pt idx="199">
                  <c:v>2.7133585533196669E-3</c:v>
                </c:pt>
                <c:pt idx="200">
                  <c:v>6.0802143838327716E-3</c:v>
                </c:pt>
                <c:pt idx="201">
                  <c:v>4.6606970986595719E-3</c:v>
                </c:pt>
                <c:pt idx="202">
                  <c:v>7.3986871752065309E-3</c:v>
                </c:pt>
                <c:pt idx="203">
                  <c:v>1.3991386454396348E-2</c:v>
                </c:pt>
                <c:pt idx="204">
                  <c:v>1.919519991465668E-2</c:v>
                </c:pt>
                <c:pt idx="205">
                  <c:v>7.6374265892993343E-3</c:v>
                </c:pt>
                <c:pt idx="206">
                  <c:v>7.6308581164985512E-4</c:v>
                </c:pt>
                <c:pt idx="207">
                  <c:v>-2.0513913606534651E-3</c:v>
                </c:pt>
                <c:pt idx="208">
                  <c:v>-1.0344175207949058E-2</c:v>
                </c:pt>
                <c:pt idx="209">
                  <c:v>-8.4991867557088208E-3</c:v>
                </c:pt>
                <c:pt idx="210">
                  <c:v>-2.1737855192186628E-2</c:v>
                </c:pt>
                <c:pt idx="211">
                  <c:v>-1.9863513950950318E-2</c:v>
                </c:pt>
                <c:pt idx="212">
                  <c:v>-2.0092515707658798E-2</c:v>
                </c:pt>
                <c:pt idx="213">
                  <c:v>-8.8338787368527072E-3</c:v>
                </c:pt>
                <c:pt idx="214">
                  <c:v>-1.4150238664367709E-4</c:v>
                </c:pt>
                <c:pt idx="215">
                  <c:v>-2.5666529300281127E-3</c:v>
                </c:pt>
                <c:pt idx="216">
                  <c:v>3.8153870413344393E-3</c:v>
                </c:pt>
                <c:pt idx="217">
                  <c:v>1.2513684711161766E-2</c:v>
                </c:pt>
                <c:pt idx="218">
                  <c:v>2.1748794796355275E-2</c:v>
                </c:pt>
                <c:pt idx="219">
                  <c:v>2.0569261473869727E-2</c:v>
                </c:pt>
                <c:pt idx="220">
                  <c:v>1.8595643102425896E-2</c:v>
                </c:pt>
                <c:pt idx="221">
                  <c:v>1.3867387002791443E-2</c:v>
                </c:pt>
                <c:pt idx="222">
                  <c:v>1.5163748163329549E-2</c:v>
                </c:pt>
                <c:pt idx="223">
                  <c:v>1.4056932775516007E-2</c:v>
                </c:pt>
                <c:pt idx="224">
                  <c:v>9.4659481532433087E-3</c:v>
                </c:pt>
                <c:pt idx="225">
                  <c:v>-1.9192771751422089E-2</c:v>
                </c:pt>
                <c:pt idx="226">
                  <c:v>-0.13185481902792751</c:v>
                </c:pt>
                <c:pt idx="227">
                  <c:v>-5.8645372121507333E-2</c:v>
                </c:pt>
                <c:pt idx="228">
                  <c:v>-4.6291403959687449E-2</c:v>
                </c:pt>
                <c:pt idx="229">
                  <c:v>-3.402158387100529E-2</c:v>
                </c:pt>
                <c:pt idx="230">
                  <c:v>-4.2368796796293351E-2</c:v>
                </c:pt>
                <c:pt idx="231">
                  <c:v>-2.5972048517294954E-2</c:v>
                </c:pt>
                <c:pt idx="232">
                  <c:v>-1.2299158742875682E-2</c:v>
                </c:pt>
                <c:pt idx="233">
                  <c:v>3.0858572764669301E-3</c:v>
                </c:pt>
                <c:pt idx="234">
                  <c:v>7.3964350658356937E-2</c:v>
                </c:pt>
                <c:pt idx="235">
                  <c:v>4.2124855993087795E-2</c:v>
                </c:pt>
                <c:pt idx="236">
                  <c:v>4.8254141127478611E-2</c:v>
                </c:pt>
                <c:pt idx="237">
                  <c:v>6.6553586239274987E-2</c:v>
                </c:pt>
                <c:pt idx="238">
                  <c:v>4.3049149646532614E-2</c:v>
                </c:pt>
                <c:pt idx="239">
                  <c:v>2.3352742850214048E-2</c:v>
                </c:pt>
                <c:pt idx="240">
                  <c:v>1.027790965461195E-2</c:v>
                </c:pt>
                <c:pt idx="241">
                  <c:v>7.3925532586951448E-3</c:v>
                </c:pt>
                <c:pt idx="242">
                  <c:v>-1.5030827541062663E-4</c:v>
                </c:pt>
                <c:pt idx="243">
                  <c:v>-6.9941413524471363E-3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97-4465-B0C1-C29DD635B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21296"/>
        <c:axId val="140321776"/>
      </c:lineChart>
      <c:catAx>
        <c:axId val="140321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21776"/>
        <c:crosses val="autoZero"/>
        <c:auto val="1"/>
        <c:lblAlgn val="ctr"/>
        <c:lblOffset val="100"/>
        <c:noMultiLvlLbl val="0"/>
      </c:catAx>
      <c:valAx>
        <c:axId val="14032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2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4</xdr:row>
      <xdr:rowOff>161925</xdr:rowOff>
    </xdr:from>
    <xdr:to>
      <xdr:col>20</xdr:col>
      <xdr:colOff>142876</xdr:colOff>
      <xdr:row>39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128384-2C46-467B-8A4F-16A245FEA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0F86-21BA-4122-B746-5A20371E109D}">
  <dimension ref="A1:M256"/>
  <sheetViews>
    <sheetView tabSelected="1" workbookViewId="0">
      <selection activeCell="J4" sqref="J4"/>
    </sheetView>
  </sheetViews>
  <sheetFormatPr defaultRowHeight="15" x14ac:dyDescent="0.25"/>
  <cols>
    <col min="1" max="1" width="16.28515625" bestFit="1" customWidth="1"/>
    <col min="2" max="2" width="9.5703125" style="3" bestFit="1" customWidth="1"/>
    <col min="3" max="3" width="9.28515625" style="3" bestFit="1" customWidth="1"/>
    <col min="4" max="4" width="9.5703125" style="3" bestFit="1" customWidth="1"/>
    <col min="5" max="5" width="9.5703125" style="4" bestFit="1" customWidth="1"/>
    <col min="6" max="6" width="9.140625" style="4"/>
  </cols>
  <sheetData>
    <row r="1" spans="1:13" x14ac:dyDescent="0.25">
      <c r="A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s="1">
        <v>22282</v>
      </c>
      <c r="B2" s="3">
        <v>90980.796875</v>
      </c>
      <c r="I2" s="2">
        <v>12614.50418</v>
      </c>
      <c r="J2">
        <v>0.54737000000000002</v>
      </c>
      <c r="K2">
        <v>5.2010000000000001E-2</v>
      </c>
      <c r="L2">
        <v>0.14760999999999999</v>
      </c>
      <c r="M2">
        <v>0.27181</v>
      </c>
    </row>
    <row r="3" spans="1:13" x14ac:dyDescent="0.25">
      <c r="A3" s="1">
        <v>22372</v>
      </c>
      <c r="B3" s="3">
        <v>93284.5</v>
      </c>
    </row>
    <row r="4" spans="1:13" x14ac:dyDescent="0.25">
      <c r="A4" s="1">
        <v>22463</v>
      </c>
      <c r="B4" s="3">
        <v>95554.5</v>
      </c>
    </row>
    <row r="5" spans="1:13" x14ac:dyDescent="0.25">
      <c r="A5" s="1">
        <v>22555</v>
      </c>
      <c r="B5" s="3">
        <v>96854.5</v>
      </c>
      <c r="I5" s="2"/>
    </row>
    <row r="6" spans="1:13" x14ac:dyDescent="0.25">
      <c r="A6" s="1">
        <v>22647</v>
      </c>
      <c r="B6" s="3">
        <v>99431.796875</v>
      </c>
      <c r="C6" s="3">
        <f>AVERAGE(B2:B6)</f>
        <v>95221.21875</v>
      </c>
    </row>
    <row r="7" spans="1:13" x14ac:dyDescent="0.25">
      <c r="A7" s="1">
        <v>22737</v>
      </c>
      <c r="B7" s="3">
        <v>100222</v>
      </c>
      <c r="C7" s="3">
        <f t="shared" ref="C7:C70" si="0">AVERAGE(B3:B7)</f>
        <v>97069.459375000006</v>
      </c>
    </row>
    <row r="8" spans="1:13" x14ac:dyDescent="0.25">
      <c r="A8" s="1">
        <v>22828</v>
      </c>
      <c r="B8" s="3">
        <v>101503.796875</v>
      </c>
      <c r="C8" s="3">
        <f t="shared" si="0"/>
        <v>98713.318750000006</v>
      </c>
    </row>
    <row r="9" spans="1:13" x14ac:dyDescent="0.25">
      <c r="A9" s="1">
        <v>22920</v>
      </c>
      <c r="B9" s="3">
        <v>103495.5</v>
      </c>
      <c r="C9" s="3">
        <f t="shared" si="0"/>
        <v>100301.51875</v>
      </c>
    </row>
    <row r="10" spans="1:13" x14ac:dyDescent="0.25">
      <c r="A10" s="1">
        <v>23012</v>
      </c>
      <c r="B10" s="3">
        <v>104151.796875</v>
      </c>
      <c r="C10" s="3">
        <f t="shared" si="0"/>
        <v>101760.97812499999</v>
      </c>
    </row>
    <row r="11" spans="1:13" x14ac:dyDescent="0.25">
      <c r="A11" s="1">
        <v>23102</v>
      </c>
      <c r="B11" s="3">
        <v>105666.5</v>
      </c>
      <c r="C11" s="3">
        <f t="shared" si="0"/>
        <v>103007.91875</v>
      </c>
    </row>
    <row r="12" spans="1:13" x14ac:dyDescent="0.25">
      <c r="A12" s="1">
        <v>23193</v>
      </c>
      <c r="B12" s="3">
        <v>106469.5</v>
      </c>
      <c r="C12" s="3">
        <f t="shared" si="0"/>
        <v>104257.41875</v>
      </c>
    </row>
    <row r="13" spans="1:13" x14ac:dyDescent="0.25">
      <c r="A13" s="1">
        <v>23285</v>
      </c>
      <c r="B13" s="3">
        <v>109801.5</v>
      </c>
      <c r="C13" s="3">
        <f t="shared" si="0"/>
        <v>105916.95937500001</v>
      </c>
      <c r="D13" s="3">
        <f>I$2+J$2*B5+K$2*B4+L$2*B3+M$2*B2</f>
        <v>109098.75683359374</v>
      </c>
      <c r="E13" s="4">
        <f>B13/C13-1</f>
        <v>3.6675341209963852E-2</v>
      </c>
      <c r="F13" s="4">
        <f>B13/D13-1</f>
        <v>6.4413489832715332E-3</v>
      </c>
    </row>
    <row r="14" spans="1:13" x14ac:dyDescent="0.25">
      <c r="A14" s="1">
        <v>23377</v>
      </c>
      <c r="B14" s="3">
        <v>112550.296875</v>
      </c>
      <c r="C14" s="3">
        <f t="shared" si="0"/>
        <v>107727.91875</v>
      </c>
      <c r="D14" s="3">
        <f>I$2+J$2*B6+K$2*B5+L$2*B4+M$2*B3</f>
        <v>111538.34907046874</v>
      </c>
      <c r="E14" s="4">
        <f t="shared" ref="E14:E77" si="1">B14/C14-1</f>
        <v>4.4764423010817733E-2</v>
      </c>
      <c r="F14" s="4">
        <f t="shared" ref="F14:F77" si="2">B14/D14-1</f>
        <v>9.0726446371545144E-3</v>
      </c>
    </row>
    <row r="15" spans="1:13" x14ac:dyDescent="0.25">
      <c r="A15" s="1">
        <v>23468</v>
      </c>
      <c r="B15" s="3">
        <v>112971.796875</v>
      </c>
      <c r="C15" s="3">
        <f t="shared" si="0"/>
        <v>109491.91875</v>
      </c>
      <c r="D15" s="3">
        <f>I$2+J$2*B7+K$2*B6+L$2*B5+M$2*B4</f>
        <v>112913.82946546873</v>
      </c>
      <c r="E15" s="4">
        <f t="shared" si="1"/>
        <v>3.1782054463266096E-2</v>
      </c>
      <c r="F15" s="4">
        <f t="shared" si="2"/>
        <v>5.1337741183421493E-4</v>
      </c>
    </row>
    <row r="16" spans="1:13" x14ac:dyDescent="0.25">
      <c r="A16" s="1">
        <v>23559</v>
      </c>
      <c r="B16" s="3">
        <v>114177.5</v>
      </c>
      <c r="C16" s="3">
        <f t="shared" si="0"/>
        <v>111194.11874999999</v>
      </c>
      <c r="D16" s="3">
        <f>I$2+J$2*B8+K$2*B7+L$2*B6+M$2*B5</f>
        <v>114390.33287718751</v>
      </c>
      <c r="E16" s="4">
        <f t="shared" si="1"/>
        <v>2.6830387106242526E-2</v>
      </c>
      <c r="F16" s="4">
        <f t="shared" si="2"/>
        <v>-1.8605844727807019E-3</v>
      </c>
    </row>
    <row r="17" spans="1:6" x14ac:dyDescent="0.25">
      <c r="A17" s="1">
        <v>23651</v>
      </c>
      <c r="B17" s="3">
        <v>114750.296875</v>
      </c>
      <c r="C17" s="3">
        <f t="shared" si="0"/>
        <v>112850.278125</v>
      </c>
      <c r="D17" s="3">
        <f>I$2+J$2*B9+K$2*B8+L$2*B7+M$2*B6</f>
        <v>116364.37461906251</v>
      </c>
      <c r="E17" s="4">
        <f t="shared" si="1"/>
        <v>1.6836633294739611E-2</v>
      </c>
      <c r="F17" s="4">
        <f t="shared" si="2"/>
        <v>-1.3870892610787888E-2</v>
      </c>
    </row>
    <row r="18" spans="1:6" x14ac:dyDescent="0.25">
      <c r="A18" s="1">
        <v>23743</v>
      </c>
      <c r="B18" s="3">
        <v>118400.5</v>
      </c>
      <c r="C18" s="3">
        <f t="shared" si="0"/>
        <v>114570.078125</v>
      </c>
      <c r="D18" s="3">
        <f>I$2+J$2*B10+K$2*B9+L$2*B8+M$2*B7</f>
        <v>117231.1914671875</v>
      </c>
      <c r="E18" s="4">
        <f t="shared" si="1"/>
        <v>3.3433003954321139E-2</v>
      </c>
      <c r="F18" s="4">
        <f t="shared" si="2"/>
        <v>9.9743806932115486E-3</v>
      </c>
    </row>
    <row r="19" spans="1:6" x14ac:dyDescent="0.25">
      <c r="A19" s="1">
        <v>23833</v>
      </c>
      <c r="B19" s="3">
        <v>119484.5</v>
      </c>
      <c r="C19" s="3">
        <f t="shared" si="0"/>
        <v>115956.91875</v>
      </c>
      <c r="D19" s="3">
        <f>I$2+J$2*B11+K$2*B10+L$2*B9+M$2*B8</f>
        <v>118736.82902406251</v>
      </c>
      <c r="E19" s="4">
        <f t="shared" si="1"/>
        <v>3.0421481426264663E-2</v>
      </c>
      <c r="F19" s="4">
        <f t="shared" si="2"/>
        <v>6.2968750478082924E-3</v>
      </c>
    </row>
    <row r="20" spans="1:6" x14ac:dyDescent="0.25">
      <c r="A20" s="1">
        <v>23924</v>
      </c>
      <c r="B20" s="3">
        <v>121152</v>
      </c>
      <c r="C20" s="3">
        <f t="shared" si="0"/>
        <v>117592.95937500001</v>
      </c>
      <c r="D20" s="3">
        <f>I$2+J$2*B12+K$2*B11+L$2*B10+M$2*B9</f>
        <v>119893.38765171876</v>
      </c>
      <c r="E20" s="4">
        <f t="shared" si="1"/>
        <v>3.026576288169025E-2</v>
      </c>
      <c r="F20" s="4">
        <f t="shared" si="2"/>
        <v>1.0497762828567403E-2</v>
      </c>
    </row>
    <row r="21" spans="1:6" x14ac:dyDescent="0.25">
      <c r="A21" s="1">
        <v>24016</v>
      </c>
      <c r="B21" s="3">
        <v>124121.296875</v>
      </c>
      <c r="C21" s="3">
        <f t="shared" si="0"/>
        <v>119581.71875</v>
      </c>
      <c r="D21" s="3">
        <f>I$2+J$2*B13+K$2*B12+L$2*B11+M$2*B10</f>
        <v>122160.96190359375</v>
      </c>
      <c r="E21" s="4">
        <f t="shared" si="1"/>
        <v>3.796214147490673E-2</v>
      </c>
      <c r="F21" s="4">
        <f t="shared" si="2"/>
        <v>1.6047147475420909E-2</v>
      </c>
    </row>
    <row r="22" spans="1:6" x14ac:dyDescent="0.25">
      <c r="A22" s="1">
        <v>24108</v>
      </c>
      <c r="B22" s="3">
        <v>126536.5</v>
      </c>
      <c r="C22" s="3">
        <f t="shared" si="0"/>
        <v>121938.95937500001</v>
      </c>
      <c r="D22" s="3">
        <f>I$2+J$2*B14+K$2*B13+L$2*B12+M$2*B11</f>
        <v>124369.11045546875</v>
      </c>
      <c r="E22" s="4">
        <f t="shared" si="1"/>
        <v>3.7703623588103197E-2</v>
      </c>
      <c r="F22" s="4">
        <f t="shared" si="2"/>
        <v>1.7427072820524137E-2</v>
      </c>
    </row>
    <row r="23" spans="1:6" x14ac:dyDescent="0.25">
      <c r="A23" s="1">
        <v>24198</v>
      </c>
      <c r="B23" s="3">
        <v>129268</v>
      </c>
      <c r="C23" s="3">
        <f t="shared" si="0"/>
        <v>124112.45937500001</v>
      </c>
      <c r="D23" s="3">
        <f>I$2+J$2*B15+K$2*B14+L$2*B13+M$2*B12</f>
        <v>125452.89178593751</v>
      </c>
      <c r="E23" s="4">
        <f t="shared" si="1"/>
        <v>4.1539267298078109E-2</v>
      </c>
      <c r="F23" s="4">
        <f t="shared" si="2"/>
        <v>3.0410683721601828E-2</v>
      </c>
    </row>
    <row r="24" spans="1:6" x14ac:dyDescent="0.25">
      <c r="A24" s="1">
        <v>24289</v>
      </c>
      <c r="B24" s="3">
        <v>129206.296875</v>
      </c>
      <c r="C24" s="3">
        <f t="shared" si="0"/>
        <v>126056.81875000001</v>
      </c>
      <c r="D24" s="3">
        <f>I$2+J$2*B16+K$2*B15+L$2*B14+M$2*B13</f>
        <v>127446.2005471875</v>
      </c>
      <c r="E24" s="4">
        <f t="shared" si="1"/>
        <v>2.4984591521749699E-2</v>
      </c>
      <c r="F24" s="4">
        <f t="shared" si="2"/>
        <v>1.3810504512928201E-2</v>
      </c>
    </row>
    <row r="25" spans="1:6" x14ac:dyDescent="0.25">
      <c r="A25" s="1">
        <v>24381</v>
      </c>
      <c r="B25" s="3">
        <v>130807.5</v>
      </c>
      <c r="C25" s="3">
        <f t="shared" si="0"/>
        <v>127987.91875</v>
      </c>
      <c r="D25" s="3">
        <f>I$2+J$2*B17+K$2*B16+L$2*B15+M$2*B14</f>
        <v>128631.80908578126</v>
      </c>
      <c r="E25" s="4">
        <f t="shared" si="1"/>
        <v>2.2030057817468807E-2</v>
      </c>
      <c r="F25" s="4">
        <f t="shared" si="2"/>
        <v>1.6914097140372286E-2</v>
      </c>
    </row>
    <row r="26" spans="1:6" x14ac:dyDescent="0.25">
      <c r="A26" s="1">
        <v>24473</v>
      </c>
      <c r="B26" s="3">
        <v>130512.796875</v>
      </c>
      <c r="C26" s="3">
        <f t="shared" si="0"/>
        <v>129266.21875</v>
      </c>
      <c r="D26" s="3">
        <f>I$2+J$2*B18+K$2*B17+L$2*B16+M$2*B15</f>
        <v>130952.15368906251</v>
      </c>
      <c r="E26" s="4">
        <f t="shared" si="1"/>
        <v>9.6434949289487815E-3</v>
      </c>
      <c r="F26" s="4">
        <f t="shared" si="2"/>
        <v>-3.355094220945265E-3</v>
      </c>
    </row>
    <row r="27" spans="1:6" x14ac:dyDescent="0.25">
      <c r="A27" s="1">
        <v>24563</v>
      </c>
      <c r="B27" s="3">
        <v>133231.796875</v>
      </c>
      <c r="C27" s="3">
        <f t="shared" si="0"/>
        <v>130605.278125</v>
      </c>
      <c r="D27" s="3">
        <f>I$2+J$2*B19+K$2*B18+L$2*B17+M$2*B16</f>
        <v>132147.62254671875</v>
      </c>
      <c r="E27" s="4">
        <f t="shared" si="1"/>
        <v>2.0110356853160427E-2</v>
      </c>
      <c r="F27" s="4">
        <f t="shared" si="2"/>
        <v>8.2042666177968293E-3</v>
      </c>
    </row>
    <row r="28" spans="1:6" x14ac:dyDescent="0.25">
      <c r="A28" s="1">
        <v>24654</v>
      </c>
      <c r="B28" s="3">
        <v>133651.796875</v>
      </c>
      <c r="C28" s="3">
        <f t="shared" si="0"/>
        <v>131482.03750000001</v>
      </c>
      <c r="D28" s="3">
        <f>I$2+J$2*B20+K$2*B19+L$2*B18+M$2*B17</f>
        <v>133811.23926359374</v>
      </c>
      <c r="E28" s="4">
        <f t="shared" si="1"/>
        <v>1.6502325460236333E-2</v>
      </c>
      <c r="F28" s="4">
        <f t="shared" si="2"/>
        <v>-1.1915470589107802E-3</v>
      </c>
    </row>
    <row r="29" spans="1:6" x14ac:dyDescent="0.25">
      <c r="A29" s="1">
        <v>24746</v>
      </c>
      <c r="B29" s="3">
        <v>134234</v>
      </c>
      <c r="C29" s="3">
        <f t="shared" si="0"/>
        <v>132487.578125</v>
      </c>
      <c r="D29" s="3">
        <f>I$2+J$2*B21+K$2*B20+L$2*B19+M$2*B18</f>
        <v>136675.44092046877</v>
      </c>
      <c r="E29" s="4">
        <f t="shared" si="1"/>
        <v>1.3181778244540698E-2</v>
      </c>
      <c r="F29" s="4">
        <f t="shared" si="2"/>
        <v>-1.7863055015783225E-2</v>
      </c>
    </row>
    <row r="30" spans="1:6" x14ac:dyDescent="0.25">
      <c r="A30" s="1">
        <v>24838</v>
      </c>
      <c r="B30" s="3">
        <v>135378.296875</v>
      </c>
      <c r="C30" s="3">
        <f t="shared" si="0"/>
        <v>133401.73749999999</v>
      </c>
      <c r="D30" s="3">
        <f>I$2+J$2*B22+K$2*B21+L$2*B20+M$2*B19</f>
        <v>138692.66550046875</v>
      </c>
      <c r="E30" s="4">
        <f t="shared" si="1"/>
        <v>1.4816593936791911E-2</v>
      </c>
      <c r="F30" s="4">
        <f t="shared" si="2"/>
        <v>-2.3897216291207224E-2</v>
      </c>
    </row>
    <row r="31" spans="1:6" x14ac:dyDescent="0.25">
      <c r="A31" s="1">
        <v>24929</v>
      </c>
      <c r="B31" s="3">
        <v>139017.796875</v>
      </c>
      <c r="C31" s="3">
        <f t="shared" si="0"/>
        <v>135102.73749999999</v>
      </c>
      <c r="D31" s="3">
        <f>I$2+J$2*B23+K$2*B22+L$2*B21+M$2*B20</f>
        <v>141204.96245671876</v>
      </c>
      <c r="E31" s="4">
        <f t="shared" si="1"/>
        <v>2.8978386725879712E-2</v>
      </c>
      <c r="F31" s="4">
        <f t="shared" si="2"/>
        <v>-1.5489296860860313E-2</v>
      </c>
    </row>
    <row r="32" spans="1:6" x14ac:dyDescent="0.25">
      <c r="A32" s="1">
        <v>25020</v>
      </c>
      <c r="B32" s="3">
        <v>140954</v>
      </c>
      <c r="C32" s="3">
        <f t="shared" si="0"/>
        <v>136647.17812500001</v>
      </c>
      <c r="D32" s="3">
        <f>I$2+J$2*B24+K$2*B23+L$2*B22+M$2*B21</f>
        <v>142476.8460490625</v>
      </c>
      <c r="E32" s="4">
        <f t="shared" si="1"/>
        <v>3.1517825205729988E-2</v>
      </c>
      <c r="F32" s="4">
        <f t="shared" si="2"/>
        <v>-1.0688375629385405E-2</v>
      </c>
    </row>
    <row r="33" spans="1:6" x14ac:dyDescent="0.25">
      <c r="A33" s="1">
        <v>25112</v>
      </c>
      <c r="B33" s="3">
        <v>142905.796875</v>
      </c>
      <c r="C33" s="3">
        <f t="shared" si="0"/>
        <v>138497.97812499999</v>
      </c>
      <c r="D33" s="3">
        <f>I$2+J$2*B25+K$2*B24+L$2*B23+M$2*B22</f>
        <v>144409.76050046878</v>
      </c>
      <c r="E33" s="4">
        <f t="shared" si="1"/>
        <v>3.1825870743194429E-2</v>
      </c>
      <c r="F33" s="4">
        <f t="shared" si="2"/>
        <v>-1.0414556607923342E-2</v>
      </c>
    </row>
    <row r="34" spans="1:6" x14ac:dyDescent="0.25">
      <c r="A34" s="1">
        <v>25204</v>
      </c>
      <c r="B34" s="3">
        <v>144862.296875</v>
      </c>
      <c r="C34" s="3">
        <f t="shared" si="0"/>
        <v>140623.63750000001</v>
      </c>
      <c r="D34" s="3">
        <f>I$2+J$2*B26+K$2*B25+L$2*B24+M$2*B23</f>
        <v>145065.0684421875</v>
      </c>
      <c r="E34" s="4">
        <f t="shared" si="1"/>
        <v>3.014186981900524E-2</v>
      </c>
      <c r="F34" s="4">
        <f t="shared" si="2"/>
        <v>-1.3977973427029555E-3</v>
      </c>
    </row>
    <row r="35" spans="1:6" x14ac:dyDescent="0.25">
      <c r="A35" s="1">
        <v>25294</v>
      </c>
      <c r="B35" s="3">
        <v>145458.296875</v>
      </c>
      <c r="C35" s="3">
        <f t="shared" si="0"/>
        <v>142639.63750000001</v>
      </c>
      <c r="D35" s="3">
        <f>I$2+J$2*B27+K$2*B26+L$2*B25+M$2*B24</f>
        <v>146757.62202953125</v>
      </c>
      <c r="E35" s="4">
        <f t="shared" si="1"/>
        <v>1.9760702034874233E-2</v>
      </c>
      <c r="F35" s="4">
        <f t="shared" si="2"/>
        <v>-8.853544617054343E-3</v>
      </c>
    </row>
    <row r="36" spans="1:6" x14ac:dyDescent="0.25">
      <c r="A36" s="1">
        <v>25385</v>
      </c>
      <c r="B36" s="3">
        <v>147072</v>
      </c>
      <c r="C36" s="3">
        <f t="shared" si="0"/>
        <v>144250.47812499999</v>
      </c>
      <c r="D36" s="3">
        <f>I$2+J$2*B28+K$2*B27+L$2*B26+M$2*B25</f>
        <v>147520.65451265627</v>
      </c>
      <c r="E36" s="4">
        <f t="shared" si="1"/>
        <v>1.9559878841822753E-2</v>
      </c>
      <c r="F36" s="4">
        <f t="shared" si="2"/>
        <v>-3.0412996345388077E-3</v>
      </c>
    </row>
    <row r="37" spans="1:6" x14ac:dyDescent="0.25">
      <c r="A37" s="1">
        <v>25477</v>
      </c>
      <c r="B37" s="3">
        <v>149150.296875</v>
      </c>
      <c r="C37" s="3">
        <f t="shared" si="0"/>
        <v>145889.73749999999</v>
      </c>
      <c r="D37" s="3">
        <f>I$2+J$2*B29+K$2*B28+L$2*B27+M$2*B26</f>
        <v>148182.42757078123</v>
      </c>
      <c r="E37" s="4">
        <f t="shared" si="1"/>
        <v>2.2349477289312469E-2</v>
      </c>
      <c r="F37" s="4">
        <f t="shared" si="2"/>
        <v>6.5316064805083229E-3</v>
      </c>
    </row>
    <row r="38" spans="1:6" x14ac:dyDescent="0.25">
      <c r="A38" s="1">
        <v>25569</v>
      </c>
      <c r="B38" s="3">
        <v>150072</v>
      </c>
      <c r="C38" s="3">
        <f t="shared" si="0"/>
        <v>147322.97812499999</v>
      </c>
      <c r="D38" s="3">
        <f>I$2+J$2*B30+K$2*B29+L$2*B28+M$2*B27</f>
        <v>149640.10932578123</v>
      </c>
      <c r="E38" s="4">
        <f t="shared" si="1"/>
        <v>1.8659831005232164E-2</v>
      </c>
      <c r="F38" s="4">
        <f t="shared" si="2"/>
        <v>2.8861959281150096E-3</v>
      </c>
    </row>
    <row r="39" spans="1:6" x14ac:dyDescent="0.25">
      <c r="A39" s="1">
        <v>25659</v>
      </c>
      <c r="B39" s="3">
        <v>150084.5</v>
      </c>
      <c r="C39" s="3">
        <f t="shared" si="0"/>
        <v>148367.41875000001</v>
      </c>
      <c r="D39" s="3">
        <f>I$2+J$2*B31+K$2*B30+L$2*B29+M$2*B28</f>
        <v>151891.87652453128</v>
      </c>
      <c r="E39" s="4">
        <f t="shared" si="1"/>
        <v>1.1573169260922889E-2</v>
      </c>
      <c r="F39" s="4">
        <f t="shared" si="2"/>
        <v>-1.1899099319109263E-2</v>
      </c>
    </row>
    <row r="40" spans="1:6" x14ac:dyDescent="0.25">
      <c r="A40" s="1">
        <v>25750</v>
      </c>
      <c r="B40" s="3">
        <v>151637.796875</v>
      </c>
      <c r="C40" s="3">
        <f t="shared" si="0"/>
        <v>149603.31875000001</v>
      </c>
      <c r="D40" s="3">
        <f>I$2+J$2*B32+K$2*B31+L$2*B30+M$2*B29</f>
        <v>153468.1447171875</v>
      </c>
      <c r="E40" s="4">
        <f t="shared" si="1"/>
        <v>1.3599151021507661E-2</v>
      </c>
      <c r="F40" s="4">
        <f t="shared" si="2"/>
        <v>-1.1926565252746713E-2</v>
      </c>
    </row>
    <row r="41" spans="1:6" x14ac:dyDescent="0.25">
      <c r="A41" s="1">
        <v>25842</v>
      </c>
      <c r="B41" s="3">
        <v>151868</v>
      </c>
      <c r="C41" s="3">
        <f t="shared" si="0"/>
        <v>150562.51874999999</v>
      </c>
      <c r="D41" s="3">
        <f>I$2+J$2*B33+K$2*B32+L$2*B31+M$2*B30</f>
        <v>155485.45962578125</v>
      </c>
      <c r="E41" s="4">
        <f t="shared" si="1"/>
        <v>8.6706921539196902E-3</v>
      </c>
      <c r="F41" s="4">
        <f t="shared" si="2"/>
        <v>-2.3265581453646322E-2</v>
      </c>
    </row>
    <row r="42" spans="1:6" x14ac:dyDescent="0.25">
      <c r="A42" s="1">
        <v>25934</v>
      </c>
      <c r="B42" s="3">
        <v>151086.796875</v>
      </c>
      <c r="C42" s="3">
        <f t="shared" si="0"/>
        <v>150949.81875000001</v>
      </c>
      <c r="D42" s="3">
        <f>I$2+J$2*B34+K$2*B33+L$2*B32+M$2*B31</f>
        <v>157932.95742453125</v>
      </c>
      <c r="E42" s="4">
        <f t="shared" si="1"/>
        <v>9.0744146719945462E-4</v>
      </c>
      <c r="F42" s="4">
        <f t="shared" si="2"/>
        <v>-4.3348523710149078E-2</v>
      </c>
    </row>
    <row r="43" spans="1:6" x14ac:dyDescent="0.25">
      <c r="A43" s="1">
        <v>26024</v>
      </c>
      <c r="B43" s="3">
        <v>155498.296875</v>
      </c>
      <c r="C43" s="3">
        <f t="shared" si="0"/>
        <v>152035.078125</v>
      </c>
      <c r="D43" s="3">
        <f>I$2+J$2*B35+K$2*B34+L$2*B33+M$2*B32</f>
        <v>159175.33161765625</v>
      </c>
      <c r="E43" s="4">
        <f t="shared" si="1"/>
        <v>2.2779076991380931E-2</v>
      </c>
      <c r="F43" s="4">
        <f t="shared" si="2"/>
        <v>-2.3100531378119515E-2</v>
      </c>
    </row>
    <row r="44" spans="1:6" x14ac:dyDescent="0.25">
      <c r="A44" s="1">
        <v>26115</v>
      </c>
      <c r="B44" s="3">
        <v>159795.5</v>
      </c>
      <c r="C44" s="3">
        <f t="shared" si="0"/>
        <v>153977.27812500001</v>
      </c>
      <c r="D44" s="3">
        <f>I$2+J$2*B36+K$2*B35+L$2*B34+M$2*B33</f>
        <v>160908.93913078125</v>
      </c>
      <c r="E44" s="4">
        <f t="shared" si="1"/>
        <v>3.7786236682770147E-2</v>
      </c>
      <c r="F44" s="4">
        <f t="shared" si="2"/>
        <v>-6.919684740922194E-3</v>
      </c>
    </row>
    <row r="45" spans="1:6" x14ac:dyDescent="0.25">
      <c r="A45" s="1">
        <v>26207</v>
      </c>
      <c r="B45" s="3">
        <v>161542</v>
      </c>
      <c r="C45" s="3">
        <f t="shared" si="0"/>
        <v>155958.11874999999</v>
      </c>
      <c r="D45" s="3">
        <f>I$2+J$2*B37+K$2*B36+L$2*B35+M$2*B34</f>
        <v>162750.23701578125</v>
      </c>
      <c r="E45" s="4">
        <f t="shared" si="1"/>
        <v>3.5803722786313719E-2</v>
      </c>
      <c r="F45" s="4">
        <f t="shared" si="2"/>
        <v>-7.4238725419741858E-3</v>
      </c>
    </row>
    <row r="46" spans="1:6" x14ac:dyDescent="0.25">
      <c r="A46" s="1">
        <v>26299</v>
      </c>
      <c r="B46" s="3">
        <v>161001.5</v>
      </c>
      <c r="C46" s="3">
        <f t="shared" si="0"/>
        <v>157784.81875000001</v>
      </c>
      <c r="D46" s="3">
        <f>I$2+J$2*B38+K$2*B37+L$2*B36+M$2*B35</f>
        <v>163763.03935406252</v>
      </c>
      <c r="E46" s="4">
        <f t="shared" si="1"/>
        <v>2.0386506607436239E-2</v>
      </c>
      <c r="F46" s="4">
        <f t="shared" si="2"/>
        <v>-1.6863019671318868E-2</v>
      </c>
    </row>
    <row r="47" spans="1:6" x14ac:dyDescent="0.25">
      <c r="A47" s="1">
        <v>26390</v>
      </c>
      <c r="B47" s="3">
        <v>165565.796875</v>
      </c>
      <c r="C47" s="3">
        <f t="shared" si="0"/>
        <v>160680.61874999999</v>
      </c>
      <c r="D47" s="3">
        <f>I$2+J$2*B39+K$2*B38+L$2*B37+M$2*B36</f>
        <v>164563.21730671875</v>
      </c>
      <c r="E47" s="4">
        <f t="shared" si="1"/>
        <v>3.0403032817547082E-2</v>
      </c>
      <c r="F47" s="4">
        <f t="shared" si="2"/>
        <v>6.0923673266097822E-3</v>
      </c>
    </row>
    <row r="48" spans="1:6" x14ac:dyDescent="0.25">
      <c r="A48" s="1">
        <v>26481</v>
      </c>
      <c r="B48" s="3">
        <v>166057</v>
      </c>
      <c r="C48" s="3">
        <f t="shared" si="0"/>
        <v>162792.359375</v>
      </c>
      <c r="D48" s="3">
        <f>I$2+J$2*B40+K$2*B39+L$2*B38+M$2*B37</f>
        <v>166115.05001406249</v>
      </c>
      <c r="E48" s="4">
        <f t="shared" si="1"/>
        <v>2.0054016278981068E-2</v>
      </c>
      <c r="F48" s="4">
        <f t="shared" si="2"/>
        <v>-3.4945668112296158E-4</v>
      </c>
    </row>
    <row r="49" spans="1:6" x14ac:dyDescent="0.25">
      <c r="A49" s="1">
        <v>26573</v>
      </c>
      <c r="B49" s="3">
        <v>169957.5</v>
      </c>
      <c r="C49" s="3">
        <f t="shared" si="0"/>
        <v>164824.75937499999</v>
      </c>
      <c r="D49" s="3">
        <f>I$2+J$2*B41+K$2*B40+L$2*B39+M$2*B38</f>
        <v>166574.21652046876</v>
      </c>
      <c r="E49" s="4">
        <f t="shared" si="1"/>
        <v>3.1140592253632748E-2</v>
      </c>
      <c r="F49" s="4">
        <f t="shared" si="2"/>
        <v>2.0310967388614376E-2</v>
      </c>
    </row>
    <row r="50" spans="1:6" x14ac:dyDescent="0.25">
      <c r="A50" s="1">
        <v>26665</v>
      </c>
      <c r="B50" s="3">
        <v>174319.5</v>
      </c>
      <c r="C50" s="3">
        <f t="shared" si="0"/>
        <v>167380.25937499999</v>
      </c>
      <c r="D50" s="3">
        <f>I$2+J$2*B42+K$2*B41+L$2*B40+M$2*B39</f>
        <v>166391.26200718753</v>
      </c>
      <c r="E50" s="4">
        <f t="shared" si="1"/>
        <v>4.1457939251087428E-2</v>
      </c>
      <c r="F50" s="4">
        <f t="shared" si="2"/>
        <v>4.7648163113697573E-2</v>
      </c>
    </row>
    <row r="51" spans="1:6" x14ac:dyDescent="0.25">
      <c r="A51" s="1">
        <v>26755</v>
      </c>
      <c r="B51" s="3">
        <v>175982.5</v>
      </c>
      <c r="C51" s="3">
        <f t="shared" si="0"/>
        <v>170376.45937500001</v>
      </c>
      <c r="D51" s="3">
        <f>I$2+J$2*B43+K$2*B42+L$2*B41+M$2*B40</f>
        <v>169221.53629453125</v>
      </c>
      <c r="E51" s="4">
        <f t="shared" si="1"/>
        <v>3.2903845082618233E-2</v>
      </c>
      <c r="F51" s="4">
        <f t="shared" si="2"/>
        <v>3.9953328952771372E-2</v>
      </c>
    </row>
    <row r="52" spans="1:6" x14ac:dyDescent="0.25">
      <c r="A52" s="1">
        <v>26846</v>
      </c>
      <c r="B52" s="3">
        <v>176800.796875</v>
      </c>
      <c r="C52" s="3">
        <f t="shared" si="0"/>
        <v>172623.45937500001</v>
      </c>
      <c r="D52" s="3">
        <f>I$2+J$2*B44+K$2*B43+L$2*B42+M$2*B41</f>
        <v>171750.39660218751</v>
      </c>
      <c r="E52" s="4">
        <f t="shared" si="1"/>
        <v>2.4199129800343666E-2</v>
      </c>
      <c r="F52" s="4">
        <f t="shared" si="2"/>
        <v>2.9405464981314466E-2</v>
      </c>
    </row>
    <row r="53" spans="1:6" x14ac:dyDescent="0.25">
      <c r="A53" s="1">
        <v>26938</v>
      </c>
      <c r="B53" s="3">
        <v>180061.796875</v>
      </c>
      <c r="C53" s="3">
        <f t="shared" si="0"/>
        <v>175424.41875000001</v>
      </c>
      <c r="D53" s="3">
        <f>I$2+J$2*B45+K$2*B44+L$2*B43+M$2*B42</f>
        <v>173368.71853531251</v>
      </c>
      <c r="E53" s="4">
        <f t="shared" si="1"/>
        <v>2.6435191622945053E-2</v>
      </c>
      <c r="F53" s="4">
        <f t="shared" si="2"/>
        <v>3.8606032254453249E-2</v>
      </c>
    </row>
    <row r="54" spans="1:6" x14ac:dyDescent="0.25">
      <c r="A54" s="1">
        <v>27030</v>
      </c>
      <c r="B54" s="3">
        <v>181552</v>
      </c>
      <c r="C54" s="3">
        <f t="shared" si="0"/>
        <v>177743.31875000001</v>
      </c>
      <c r="D54" s="3">
        <f>I$2+J$2*B46+K$2*B45+L$2*B44+M$2*B43</f>
        <v>174997.10048359373</v>
      </c>
      <c r="E54" s="4">
        <f t="shared" si="1"/>
        <v>2.1427985461197396E-2</v>
      </c>
      <c r="F54" s="4">
        <f t="shared" si="2"/>
        <v>3.7457189280806436E-2</v>
      </c>
    </row>
    <row r="55" spans="1:6" x14ac:dyDescent="0.25">
      <c r="A55" s="1">
        <v>27120</v>
      </c>
      <c r="B55" s="3">
        <v>183414.296875</v>
      </c>
      <c r="C55" s="3">
        <f t="shared" si="0"/>
        <v>179562.27812500001</v>
      </c>
      <c r="D55" s="3">
        <f>I$2+J$2*B47+K$2*B46+L$2*B45+M$2*B44</f>
        <v>178893.1719054688</v>
      </c>
      <c r="E55" s="4">
        <f t="shared" si="1"/>
        <v>2.1452271547359514E-2</v>
      </c>
      <c r="F55" s="4">
        <f t="shared" si="2"/>
        <v>2.5272764306064621E-2</v>
      </c>
    </row>
    <row r="56" spans="1:6" x14ac:dyDescent="0.25">
      <c r="A56" s="1">
        <v>27211</v>
      </c>
      <c r="B56" s="3">
        <v>183449.5</v>
      </c>
      <c r="C56" s="3">
        <f t="shared" si="0"/>
        <v>181055.67812500001</v>
      </c>
      <c r="D56" s="3">
        <f>I$2+J$2*B48+K$2*B47+L$2*B46+M$2*B45</f>
        <v>179794.36380046874</v>
      </c>
      <c r="E56" s="4">
        <f t="shared" si="1"/>
        <v>1.3221468112959656E-2</v>
      </c>
      <c r="F56" s="4">
        <f t="shared" si="2"/>
        <v>2.0329537157169453E-2</v>
      </c>
    </row>
    <row r="57" spans="1:6" x14ac:dyDescent="0.25">
      <c r="A57" s="1">
        <v>27303</v>
      </c>
      <c r="B57" s="3">
        <v>182493.796875</v>
      </c>
      <c r="C57" s="3">
        <f t="shared" si="0"/>
        <v>182194.27812500001</v>
      </c>
      <c r="D57" s="3">
        <f>I$2+J$2*B49+K$2*B48+L$2*B47+M$2*B46</f>
        <v>182481.75051671878</v>
      </c>
      <c r="E57" s="4">
        <f t="shared" si="1"/>
        <v>1.6439525603240135E-3</v>
      </c>
      <c r="F57" s="4">
        <f t="shared" si="2"/>
        <v>6.6014043854423221E-5</v>
      </c>
    </row>
    <row r="58" spans="1:6" x14ac:dyDescent="0.25">
      <c r="A58" s="1">
        <v>27395</v>
      </c>
      <c r="B58" s="3">
        <v>181499.5</v>
      </c>
      <c r="C58" s="3">
        <f t="shared" si="0"/>
        <v>182481.81875000001</v>
      </c>
      <c r="D58" s="3">
        <f>I$2+J$2*B50+K$2*B49+L$2*B48+M$2*B47</f>
        <v>186385.37148859375</v>
      </c>
      <c r="E58" s="4">
        <f t="shared" si="1"/>
        <v>-5.383104775746328E-3</v>
      </c>
      <c r="F58" s="4">
        <f t="shared" si="2"/>
        <v>-2.6213814150606529E-2</v>
      </c>
    </row>
    <row r="59" spans="1:6" x14ac:dyDescent="0.25">
      <c r="A59" s="1">
        <v>27485</v>
      </c>
      <c r="B59" s="3">
        <v>183828</v>
      </c>
      <c r="C59" s="3">
        <f t="shared" si="0"/>
        <v>182937.01874999999</v>
      </c>
      <c r="D59" s="3">
        <f>I$2+J$2*B51+K$2*B50+L$2*B49+M$2*B48</f>
        <v>188231.782145</v>
      </c>
      <c r="E59" s="4">
        <f t="shared" si="1"/>
        <v>4.8704262050842662E-3</v>
      </c>
      <c r="F59" s="4">
        <f t="shared" si="2"/>
        <v>-2.3395529143997895E-2</v>
      </c>
    </row>
    <row r="60" spans="1:6" x14ac:dyDescent="0.25">
      <c r="A60" s="1">
        <v>27576</v>
      </c>
      <c r="B60" s="3">
        <v>187354.796875</v>
      </c>
      <c r="C60" s="3">
        <f t="shared" si="0"/>
        <v>183725.11874999999</v>
      </c>
      <c r="D60" s="3">
        <f>I$2+J$2*B52+K$2*B51+L$2*B50+M$2*B49</f>
        <v>190470.25566046874</v>
      </c>
      <c r="E60" s="4">
        <f t="shared" si="1"/>
        <v>1.9756025467257965E-2</v>
      </c>
      <c r="F60" s="4">
        <f t="shared" si="2"/>
        <v>-1.6356668261223617E-2</v>
      </c>
    </row>
    <row r="61" spans="1:6" x14ac:dyDescent="0.25">
      <c r="A61" s="1">
        <v>27668</v>
      </c>
      <c r="B61" s="3">
        <v>189522.796875</v>
      </c>
      <c r="C61" s="3">
        <f t="shared" si="0"/>
        <v>184939.77812500001</v>
      </c>
      <c r="D61" s="3">
        <f>I$2+J$2*B53+K$2*B52+L$2*B51+M$2*B50</f>
        <v>193728.89950093749</v>
      </c>
      <c r="E61" s="4">
        <f t="shared" si="1"/>
        <v>2.4781141171816179E-2</v>
      </c>
      <c r="F61" s="4">
        <f t="shared" si="2"/>
        <v>-2.1711281263522286E-2</v>
      </c>
    </row>
    <row r="62" spans="1:6" x14ac:dyDescent="0.25">
      <c r="A62" s="1">
        <v>27760</v>
      </c>
      <c r="B62" s="3">
        <v>192825.5</v>
      </c>
      <c r="C62" s="3">
        <f t="shared" si="0"/>
        <v>187006.11874999999</v>
      </c>
      <c r="D62" s="3">
        <f>I$2+J$2*B54+K$2*B53+L$2*B52+M$2*B51</f>
        <v>195287.00542718754</v>
      </c>
      <c r="E62" s="4">
        <f t="shared" si="1"/>
        <v>3.1118667607767714E-2</v>
      </c>
      <c r="F62" s="4">
        <f t="shared" si="2"/>
        <v>-1.2604553087406045E-2</v>
      </c>
    </row>
    <row r="63" spans="1:6" x14ac:dyDescent="0.25">
      <c r="A63" s="1">
        <v>27851</v>
      </c>
      <c r="B63" s="3">
        <v>196983.796875</v>
      </c>
      <c r="C63" s="3">
        <f t="shared" si="0"/>
        <v>190102.97812499999</v>
      </c>
      <c r="D63" s="3">
        <f>I$2+J$2*B55+K$2*B54+L$2*B53+M$2*B52</f>
        <v>197087.65381578126</v>
      </c>
      <c r="E63" s="4">
        <f t="shared" si="1"/>
        <v>3.6195218075308677E-2</v>
      </c>
      <c r="F63" s="4">
        <f t="shared" si="2"/>
        <v>-5.2695812634884209E-4</v>
      </c>
    </row>
    <row r="64" spans="1:6" x14ac:dyDescent="0.25">
      <c r="A64" s="1">
        <v>27942</v>
      </c>
      <c r="B64" s="3">
        <v>197893.296875</v>
      </c>
      <c r="C64" s="3">
        <f t="shared" si="0"/>
        <v>192916.03750000001</v>
      </c>
      <c r="D64" s="3">
        <f>I$2+J$2*B56+K$2*B55+L$2*B54+M$2*B53</f>
        <v>198310.1223040625</v>
      </c>
      <c r="E64" s="4">
        <f t="shared" si="1"/>
        <v>2.5800132739093762E-2</v>
      </c>
      <c r="F64" s="4">
        <f t="shared" si="2"/>
        <v>-2.101886803455244E-3</v>
      </c>
    </row>
    <row r="65" spans="1:6" x14ac:dyDescent="0.25">
      <c r="A65" s="1">
        <v>28034</v>
      </c>
      <c r="B65" s="3">
        <v>198213</v>
      </c>
      <c r="C65" s="3">
        <f t="shared" si="0"/>
        <v>195087.67812500001</v>
      </c>
      <c r="D65" s="3">
        <f>I$2+J$2*B57+K$2*B56+L$2*B55+M$2*B54</f>
        <v>198468.77575218753</v>
      </c>
      <c r="E65" s="4">
        <f t="shared" si="1"/>
        <v>1.6020088531667698E-2</v>
      </c>
      <c r="F65" s="4">
        <f t="shared" si="2"/>
        <v>-1.2887455531387371E-3</v>
      </c>
    </row>
    <row r="66" spans="1:6" x14ac:dyDescent="0.25">
      <c r="A66" s="1">
        <v>28126</v>
      </c>
      <c r="B66" s="3">
        <v>201253.296875</v>
      </c>
      <c r="C66" s="3">
        <f t="shared" si="0"/>
        <v>197433.77812500001</v>
      </c>
      <c r="D66" s="3">
        <f>I$2+J$2*B58+K$2*B57+L$2*B56+M$2*B55</f>
        <v>198386.20859906252</v>
      </c>
      <c r="E66" s="4">
        <f t="shared" si="1"/>
        <v>1.9345822109435362E-2</v>
      </c>
      <c r="F66" s="4">
        <f t="shared" si="2"/>
        <v>1.4452054385150515E-2</v>
      </c>
    </row>
    <row r="67" spans="1:6" x14ac:dyDescent="0.25">
      <c r="A67" s="1">
        <v>28216</v>
      </c>
      <c r="B67" s="3">
        <v>202280.296875</v>
      </c>
      <c r="C67" s="3">
        <f t="shared" si="0"/>
        <v>199324.73749999999</v>
      </c>
      <c r="D67" s="3">
        <f>I$2+J$2*B59+K$2*B58+L$2*B57+M$2*B56</f>
        <v>199477.54348671873</v>
      </c>
      <c r="E67" s="4">
        <f t="shared" si="1"/>
        <v>1.4827860365299594E-2</v>
      </c>
      <c r="F67" s="4">
        <f t="shared" si="2"/>
        <v>1.4050470741173271E-2</v>
      </c>
    </row>
    <row r="68" spans="1:6" x14ac:dyDescent="0.25">
      <c r="A68" s="1">
        <v>28307</v>
      </c>
      <c r="B68" s="3">
        <v>203469.296875</v>
      </c>
      <c r="C68" s="3">
        <f t="shared" si="0"/>
        <v>200621.83749999999</v>
      </c>
      <c r="D68" s="3">
        <f>I$2+J$2*B60+K$2*B59+L$2*B58+M$2*B57</f>
        <v>201122.57374906252</v>
      </c>
      <c r="E68" s="4">
        <f t="shared" si="1"/>
        <v>1.4193167655540018E-2</v>
      </c>
      <c r="F68" s="4">
        <f t="shared" si="2"/>
        <v>1.1668123981276368E-2</v>
      </c>
    </row>
    <row r="69" spans="1:6" x14ac:dyDescent="0.25">
      <c r="A69" s="1">
        <v>28399</v>
      </c>
      <c r="B69" s="3">
        <v>206693.5</v>
      </c>
      <c r="C69" s="3">
        <f t="shared" si="0"/>
        <v>202381.87812499999</v>
      </c>
      <c r="D69" s="3">
        <f>I$2+J$2*B61+K$2*B60+L$2*B59+M$2*B58</f>
        <v>202566.15066593752</v>
      </c>
      <c r="E69" s="4">
        <f t="shared" si="1"/>
        <v>2.1304387106917622E-2</v>
      </c>
      <c r="F69" s="4">
        <f t="shared" si="2"/>
        <v>2.0375316016490341E-2</v>
      </c>
    </row>
    <row r="70" spans="1:6" x14ac:dyDescent="0.25">
      <c r="A70" s="1">
        <v>28491</v>
      </c>
      <c r="B70" s="3">
        <v>208478.5</v>
      </c>
      <c r="C70" s="3">
        <f t="shared" si="0"/>
        <v>204434.97812499999</v>
      </c>
      <c r="D70" s="3">
        <f>I$2+J$2*B62+K$2*B61+L$2*B60+M$2*B59</f>
        <v>205640.20902718749</v>
      </c>
      <c r="E70" s="4">
        <f t="shared" si="1"/>
        <v>1.9779011948374281E-2</v>
      </c>
      <c r="F70" s="4">
        <f t="shared" si="2"/>
        <v>1.3802217894250735E-2</v>
      </c>
    </row>
    <row r="71" spans="1:6" x14ac:dyDescent="0.25">
      <c r="A71" s="1">
        <v>28581</v>
      </c>
      <c r="B71" s="3">
        <v>209897.5</v>
      </c>
      <c r="C71" s="3">
        <f t="shared" ref="C71:C134" si="3">AVERAGE(B67:B71)</f>
        <v>206163.81875000001</v>
      </c>
      <c r="D71" s="3">
        <f>I$2+J$2*B63+K$2*B62+L$2*B61+M$2*B60</f>
        <v>209366.74671578128</v>
      </c>
      <c r="E71" s="4">
        <f t="shared" si="1"/>
        <v>1.8110264316201663E-2</v>
      </c>
      <c r="F71" s="4">
        <f t="shared" si="2"/>
        <v>2.5350409869013824E-3</v>
      </c>
    </row>
    <row r="72" spans="1:6" x14ac:dyDescent="0.25">
      <c r="A72" s="1">
        <v>28672</v>
      </c>
      <c r="B72" s="3">
        <v>211855.5</v>
      </c>
      <c r="C72" s="3">
        <f t="shared" si="3"/>
        <v>208078.859375</v>
      </c>
      <c r="D72" s="3">
        <f>I$2+J$2*B64+K$2*B63+L$2*B62+M$2*B61</f>
        <v>211157.64883953123</v>
      </c>
      <c r="E72" s="4">
        <f t="shared" si="1"/>
        <v>1.8150044826003908E-2</v>
      </c>
      <c r="F72" s="4">
        <f t="shared" si="2"/>
        <v>3.3048822256924737E-3</v>
      </c>
    </row>
    <row r="73" spans="1:6" x14ac:dyDescent="0.25">
      <c r="A73" s="1">
        <v>28764</v>
      </c>
      <c r="B73" s="3">
        <v>213864.296875</v>
      </c>
      <c r="C73" s="3">
        <f t="shared" si="3"/>
        <v>210157.859375</v>
      </c>
      <c r="D73" s="3">
        <f>I$2+J$2*B65+K$2*B64+L$2*B63+M$2*B62</f>
        <v>212891.4617721875</v>
      </c>
      <c r="E73" s="4">
        <f t="shared" si="1"/>
        <v>1.7636444865887002E-2</v>
      </c>
      <c r="F73" s="4">
        <f t="shared" si="2"/>
        <v>4.5696294943642357E-3</v>
      </c>
    </row>
    <row r="74" spans="1:6" x14ac:dyDescent="0.25">
      <c r="A74" s="1">
        <v>28856</v>
      </c>
      <c r="B74" s="3">
        <v>215570.5</v>
      </c>
      <c r="C74" s="3">
        <f t="shared" si="3"/>
        <v>211933.25937499999</v>
      </c>
      <c r="D74" s="3">
        <f>I$2+J$2*B66+K$2*B65+L$2*B64+M$2*B63</f>
        <v>215836.77480078125</v>
      </c>
      <c r="E74" s="4">
        <f t="shared" si="1"/>
        <v>1.7162198305855192E-2</v>
      </c>
      <c r="F74" s="4">
        <f t="shared" si="2"/>
        <v>-1.2336859695342151E-3</v>
      </c>
    </row>
    <row r="75" spans="1:6" x14ac:dyDescent="0.25">
      <c r="A75" s="1">
        <v>28946</v>
      </c>
      <c r="B75" s="3">
        <v>218430.296875</v>
      </c>
      <c r="C75" s="3">
        <f t="shared" si="3"/>
        <v>213923.61874999999</v>
      </c>
      <c r="D75" s="3">
        <f>I$2+J$2*B67+K$2*B66+L$2*B65+M$2*B64</f>
        <v>216851.45220453126</v>
      </c>
      <c r="E75" s="4">
        <f t="shared" si="1"/>
        <v>2.1066762760154623E-2</v>
      </c>
      <c r="F75" s="4">
        <f t="shared" si="2"/>
        <v>7.2807659548417281E-3</v>
      </c>
    </row>
    <row r="76" spans="1:6" x14ac:dyDescent="0.25">
      <c r="A76" s="1">
        <v>29037</v>
      </c>
      <c r="B76" s="3">
        <v>220031.5</v>
      </c>
      <c r="C76" s="3">
        <f t="shared" si="3"/>
        <v>215950.41875000001</v>
      </c>
      <c r="D76" s="3">
        <f>I$2+J$2*B68+K$2*B67+L$2*B66+M$2*B65</f>
        <v>218091.36613265623</v>
      </c>
      <c r="E76" s="4">
        <f t="shared" si="1"/>
        <v>1.8898232629613654E-2</v>
      </c>
      <c r="F76" s="4">
        <f t="shared" si="2"/>
        <v>8.8959682437115273E-3</v>
      </c>
    </row>
    <row r="77" spans="1:6" x14ac:dyDescent="0.25">
      <c r="A77" s="1">
        <v>29129</v>
      </c>
      <c r="B77" s="3">
        <v>221507.796875</v>
      </c>
      <c r="C77" s="3">
        <f t="shared" si="3"/>
        <v>217880.87812499999</v>
      </c>
      <c r="D77" s="3">
        <f>I$2+J$2*B69+K$2*B68+L$2*B67+M$2*B66</f>
        <v>220896.01665078124</v>
      </c>
      <c r="E77" s="4">
        <f t="shared" si="1"/>
        <v>1.6646338041281572E-2</v>
      </c>
      <c r="F77" s="4">
        <f t="shared" si="2"/>
        <v>2.7695394126818762E-3</v>
      </c>
    </row>
    <row r="78" spans="1:6" x14ac:dyDescent="0.25">
      <c r="A78" s="1">
        <v>29221</v>
      </c>
      <c r="B78" s="3">
        <v>223045.796875</v>
      </c>
      <c r="C78" s="3">
        <f t="shared" si="3"/>
        <v>219717.17812500001</v>
      </c>
      <c r="D78" s="3">
        <f>I$2+J$2*B70+K$2*B69+L$2*B68+M$2*B67</f>
        <v>222495.4200653125</v>
      </c>
      <c r="E78" s="4">
        <f t="shared" ref="E78:E141" si="4">B78/C78-1</f>
        <v>1.5149560805419959E-2</v>
      </c>
      <c r="F78" s="4">
        <f t="shared" ref="F78:F141" si="5">B78/D78-1</f>
        <v>2.4736545566912405E-3</v>
      </c>
    </row>
    <row r="79" spans="1:6" x14ac:dyDescent="0.25">
      <c r="A79" s="1">
        <v>29312</v>
      </c>
      <c r="B79" s="3">
        <v>222948.296875</v>
      </c>
      <c r="C79" s="3">
        <f t="shared" si="3"/>
        <v>221192.73749999999</v>
      </c>
      <c r="D79" s="3">
        <f>I$2+J$2*B71+K$2*B70+L$2*B69+M$2*B68</f>
        <v>224164.08265859378</v>
      </c>
      <c r="E79" s="4">
        <f t="shared" si="4"/>
        <v>7.9367857861969426E-3</v>
      </c>
      <c r="F79" s="4">
        <f t="shared" si="5"/>
        <v>-5.423642223029268E-3</v>
      </c>
    </row>
    <row r="80" spans="1:6" x14ac:dyDescent="0.25">
      <c r="A80" s="1">
        <v>29403</v>
      </c>
      <c r="B80" s="3">
        <v>222763</v>
      </c>
      <c r="C80" s="3">
        <f t="shared" si="3"/>
        <v>222059.27812500001</v>
      </c>
      <c r="D80" s="3">
        <f>I$2+J$2*B72+K$2*B71+L$2*B70+M$2*B69</f>
        <v>226449.48981</v>
      </c>
      <c r="E80" s="4">
        <f t="shared" si="4"/>
        <v>3.1690721547057432E-3</v>
      </c>
      <c r="F80" s="4">
        <f t="shared" si="5"/>
        <v>-1.6279523584235567E-2</v>
      </c>
    </row>
    <row r="81" spans="1:6" x14ac:dyDescent="0.25">
      <c r="A81" s="1">
        <v>29495</v>
      </c>
      <c r="B81" s="3">
        <v>225845.296875</v>
      </c>
      <c r="C81" s="3">
        <f t="shared" si="3"/>
        <v>223222.03750000001</v>
      </c>
      <c r="D81" s="3">
        <f>I$2+J$2*B73+K$2*B72+L$2*B71+M$2*B70</f>
        <v>228345.51997546875</v>
      </c>
      <c r="E81" s="4">
        <f t="shared" si="4"/>
        <v>1.1751793883701955E-2</v>
      </c>
      <c r="F81" s="4">
        <f t="shared" si="5"/>
        <v>-1.0949297804210723E-2</v>
      </c>
    </row>
    <row r="82" spans="1:6" x14ac:dyDescent="0.25">
      <c r="A82" s="1">
        <v>29587</v>
      </c>
      <c r="B82" s="3">
        <v>230710.796875</v>
      </c>
      <c r="C82" s="3">
        <f t="shared" si="3"/>
        <v>225062.63750000001</v>
      </c>
      <c r="D82" s="3">
        <f>I$2+J$2*B74+K$2*B73+L$2*B72+M$2*B71</f>
        <v>230058.64067546875</v>
      </c>
      <c r="E82" s="4">
        <f t="shared" si="4"/>
        <v>2.5095944123555425E-2</v>
      </c>
      <c r="F82" s="4">
        <f t="shared" si="5"/>
        <v>2.8347389935734491E-3</v>
      </c>
    </row>
    <row r="83" spans="1:6" x14ac:dyDescent="0.25">
      <c r="A83" s="1">
        <v>29677</v>
      </c>
      <c r="B83" s="3">
        <v>233233.296875</v>
      </c>
      <c r="C83" s="3">
        <f t="shared" si="3"/>
        <v>227100.13750000001</v>
      </c>
      <c r="D83" s="3">
        <f>I$2+J$2*B75+K$2*B74+L$2*B73+M$2*B72</f>
        <v>232541.46980218752</v>
      </c>
      <c r="E83" s="4">
        <f t="shared" si="4"/>
        <v>2.7006409782556862E-2</v>
      </c>
      <c r="F83" s="4">
        <f t="shared" si="5"/>
        <v>2.97506966564276E-3</v>
      </c>
    </row>
    <row r="84" spans="1:6" x14ac:dyDescent="0.25">
      <c r="A84" s="1">
        <v>29768</v>
      </c>
      <c r="B84" s="3">
        <v>231136.296875</v>
      </c>
      <c r="C84" s="3">
        <f t="shared" si="3"/>
        <v>228737.73749999999</v>
      </c>
      <c r="D84" s="3">
        <f>I$2+J$2*B76+K$2*B75+L$2*B74+M$2*B73</f>
        <v>234364.52211406251</v>
      </c>
      <c r="E84" s="4">
        <f t="shared" si="4"/>
        <v>1.0486067586464642E-2</v>
      </c>
      <c r="F84" s="4">
        <f t="shared" si="5"/>
        <v>-1.3774376812422884E-2</v>
      </c>
    </row>
    <row r="85" spans="1:6" x14ac:dyDescent="0.25">
      <c r="A85" s="1">
        <v>29860</v>
      </c>
      <c r="B85" s="3">
        <v>230073.296875</v>
      </c>
      <c r="C85" s="3">
        <f t="shared" si="3"/>
        <v>230199.796875</v>
      </c>
      <c r="D85" s="3">
        <f>I$2+J$2*B77+K$2*B76+L$2*B75+M$2*B74</f>
        <v>236141.7789971875</v>
      </c>
      <c r="E85" s="4">
        <f t="shared" si="4"/>
        <v>-5.4952263953855773E-4</v>
      </c>
      <c r="F85" s="4">
        <f t="shared" si="5"/>
        <v>-2.5698468724840828E-2</v>
      </c>
    </row>
    <row r="86" spans="1:6" x14ac:dyDescent="0.25">
      <c r="A86" s="1">
        <v>29952</v>
      </c>
      <c r="B86" s="3">
        <v>227440.296875</v>
      </c>
      <c r="C86" s="3">
        <f t="shared" si="3"/>
        <v>230518.796875</v>
      </c>
      <c r="D86" s="3">
        <f>I$2+J$2*B78+K$2*B77+L$2*B76+M$2*B75</f>
        <v>238074.09123953123</v>
      </c>
      <c r="E86" s="4">
        <f t="shared" si="4"/>
        <v>-1.3354659323809193E-2</v>
      </c>
      <c r="F86" s="4">
        <f t="shared" si="5"/>
        <v>-4.4665903413372066E-2</v>
      </c>
    </row>
    <row r="87" spans="1:6" x14ac:dyDescent="0.25">
      <c r="A87" s="1">
        <v>30042</v>
      </c>
      <c r="B87" s="3">
        <v>224821.796875</v>
      </c>
      <c r="C87" s="3">
        <f t="shared" si="3"/>
        <v>229340.99687500001</v>
      </c>
      <c r="D87" s="3">
        <f>I$2+J$2*B79+K$2*B78+L$2*B77+M$2*B76</f>
        <v>238753.85324765625</v>
      </c>
      <c r="E87" s="4">
        <f t="shared" si="4"/>
        <v>-1.9705155474069702E-2</v>
      </c>
      <c r="F87" s="4">
        <f t="shared" si="5"/>
        <v>-5.835322103976559E-2</v>
      </c>
    </row>
    <row r="88" spans="1:6" x14ac:dyDescent="0.25">
      <c r="A88" s="1">
        <v>30133</v>
      </c>
      <c r="B88" s="3">
        <v>222828</v>
      </c>
      <c r="C88" s="3">
        <f t="shared" si="3"/>
        <v>227259.9375</v>
      </c>
      <c r="D88" s="3">
        <f>I$2+J$2*B80+K$2*B79+L$2*B78+M$2*B77</f>
        <v>239275.65275578125</v>
      </c>
      <c r="E88" s="4">
        <f t="shared" si="4"/>
        <v>-1.9501622453803602E-2</v>
      </c>
      <c r="F88" s="4">
        <f t="shared" si="5"/>
        <v>-6.8739349642768288E-2</v>
      </c>
    </row>
    <row r="89" spans="1:6" x14ac:dyDescent="0.25">
      <c r="A89" s="1">
        <v>30225</v>
      </c>
      <c r="B89" s="3">
        <v>220771.796875</v>
      </c>
      <c r="C89" s="3">
        <f t="shared" si="3"/>
        <v>225187.03750000001</v>
      </c>
      <c r="D89" s="3">
        <f>I$2+J$2*B81+K$2*B80+L$2*B79+M$2*B78</f>
        <v>241356.82411078122</v>
      </c>
      <c r="E89" s="4">
        <f t="shared" si="4"/>
        <v>-1.9606992809255264E-2</v>
      </c>
      <c r="F89" s="4">
        <f t="shared" si="5"/>
        <v>-8.5288772387611567E-2</v>
      </c>
    </row>
    <row r="90" spans="1:6" x14ac:dyDescent="0.25">
      <c r="A90" s="1">
        <v>30317</v>
      </c>
      <c r="B90" s="3">
        <v>224379.796875</v>
      </c>
      <c r="C90" s="3">
        <f t="shared" si="3"/>
        <v>224048.33749999999</v>
      </c>
      <c r="D90" s="3">
        <f>I$2+J$2*B82+K$2*B81+L$2*B80+M$2*B79</f>
        <v>244126.50995953125</v>
      </c>
      <c r="E90" s="4">
        <f t="shared" si="4"/>
        <v>1.4794101072050925E-3</v>
      </c>
      <c r="F90" s="4">
        <f t="shared" si="5"/>
        <v>-8.0887213305120609E-2</v>
      </c>
    </row>
    <row r="91" spans="1:6" x14ac:dyDescent="0.25">
      <c r="A91" s="1">
        <v>30407</v>
      </c>
      <c r="B91" s="3">
        <v>228806.296875</v>
      </c>
      <c r="C91" s="3">
        <f t="shared" si="3"/>
        <v>224321.53750000001</v>
      </c>
      <c r="D91" s="3">
        <f>I$2+J$2*B83+K$2*B82+L$2*B81+M$2*B80</f>
        <v>246164.91773765624</v>
      </c>
      <c r="E91" s="4">
        <f t="shared" si="4"/>
        <v>1.9992549199606025E-2</v>
      </c>
      <c r="F91" s="4">
        <f t="shared" si="5"/>
        <v>-7.0516225553942435E-2</v>
      </c>
    </row>
    <row r="92" spans="1:6" x14ac:dyDescent="0.25">
      <c r="A92" s="1">
        <v>30498</v>
      </c>
      <c r="B92" s="3">
        <v>231376.796875</v>
      </c>
      <c r="C92" s="3">
        <f t="shared" si="3"/>
        <v>225632.53750000001</v>
      </c>
      <c r="D92" s="3">
        <f>I$2+J$2*B84+K$2*B83+L$2*B82+M$2*B81</f>
        <v>246704.27364124998</v>
      </c>
      <c r="E92" s="4">
        <f t="shared" si="4"/>
        <v>2.5458470833356728E-2</v>
      </c>
      <c r="F92" s="4">
        <f t="shared" si="5"/>
        <v>-6.2128947099387211E-2</v>
      </c>
    </row>
    <row r="93" spans="1:6" x14ac:dyDescent="0.25">
      <c r="A93" s="1">
        <v>30590</v>
      </c>
      <c r="B93" s="3">
        <v>234253.296875</v>
      </c>
      <c r="C93" s="3">
        <f t="shared" si="3"/>
        <v>227917.59687499999</v>
      </c>
      <c r="D93" s="3">
        <f>I$2+J$2*B85+K$2*B84+L$2*B83+M$2*B82</f>
        <v>247708.19214124998</v>
      </c>
      <c r="E93" s="4">
        <f t="shared" si="4"/>
        <v>2.779820464443894E-2</v>
      </c>
      <c r="F93" s="4">
        <f t="shared" si="5"/>
        <v>-5.4317522363481752E-2</v>
      </c>
    </row>
    <row r="94" spans="1:6" x14ac:dyDescent="0.25">
      <c r="A94" s="1">
        <v>30682</v>
      </c>
      <c r="B94" s="3">
        <v>238310.5</v>
      </c>
      <c r="C94" s="3">
        <f t="shared" si="3"/>
        <v>231425.33749999999</v>
      </c>
      <c r="D94" s="3">
        <f>I$2+J$2*B86+K$2*B85+L$2*B84+M$2*B83</f>
        <v>246587.78285625001</v>
      </c>
      <c r="E94" s="4">
        <f t="shared" si="4"/>
        <v>2.975111789563667E-2</v>
      </c>
      <c r="F94" s="4">
        <f t="shared" si="5"/>
        <v>-3.3567286912487893E-2</v>
      </c>
    </row>
    <row r="95" spans="1:6" x14ac:dyDescent="0.25">
      <c r="A95" s="1">
        <v>30773</v>
      </c>
      <c r="B95" s="3">
        <v>242935.296875</v>
      </c>
      <c r="C95" s="3">
        <f t="shared" si="3"/>
        <v>235136.4375</v>
      </c>
      <c r="D95" s="3">
        <f>I$2+J$2*B87+K$2*B86+L$2*B85+M$2*B84</f>
        <v>244290.65718125002</v>
      </c>
      <c r="E95" s="4">
        <f t="shared" si="4"/>
        <v>3.3167379151944454E-2</v>
      </c>
      <c r="F95" s="4">
        <f t="shared" si="5"/>
        <v>-5.5481463019865229E-3</v>
      </c>
    </row>
    <row r="96" spans="1:6" x14ac:dyDescent="0.25">
      <c r="A96" s="1">
        <v>30864</v>
      </c>
      <c r="B96" s="3">
        <v>243979.796875</v>
      </c>
      <c r="C96" s="3">
        <f t="shared" si="3"/>
        <v>238171.13750000001</v>
      </c>
      <c r="D96" s="3">
        <f>I$2+J$2*B88+K$2*B87+L$2*B86+M$2*B85</f>
        <v>242385.53324078122</v>
      </c>
      <c r="E96" s="4">
        <f t="shared" si="4"/>
        <v>2.4388594839708455E-2</v>
      </c>
      <c r="F96" s="4">
        <f t="shared" si="5"/>
        <v>6.5773877380506107E-3</v>
      </c>
    </row>
    <row r="97" spans="1:6" x14ac:dyDescent="0.25">
      <c r="A97" s="1">
        <v>30956</v>
      </c>
      <c r="B97" s="3">
        <v>247787.5</v>
      </c>
      <c r="C97" s="3">
        <f t="shared" si="3"/>
        <v>241453.27812500001</v>
      </c>
      <c r="D97" s="3">
        <f>I$2+J$2*B89+K$2*B88+L$2*B87+M$2*B86</f>
        <v>240054.13944578124</v>
      </c>
      <c r="E97" s="4">
        <f t="shared" si="4"/>
        <v>2.6233737326692097E-2</v>
      </c>
      <c r="F97" s="4">
        <f t="shared" si="5"/>
        <v>3.2215068534427127E-2</v>
      </c>
    </row>
    <row r="98" spans="1:6" x14ac:dyDescent="0.25">
      <c r="A98" s="1">
        <v>31048</v>
      </c>
      <c r="B98" s="3">
        <v>251594.5</v>
      </c>
      <c r="C98" s="3">
        <f t="shared" si="3"/>
        <v>244921.51874999999</v>
      </c>
      <c r="D98" s="3">
        <f>I$2+J$2*B90+K$2*B89+L$2*B88+M$2*B87</f>
        <v>240916.06843953126</v>
      </c>
      <c r="E98" s="4">
        <f t="shared" si="4"/>
        <v>2.7245385722155957E-2</v>
      </c>
      <c r="F98" s="4">
        <f t="shared" si="5"/>
        <v>4.4324281189027426E-2</v>
      </c>
    </row>
    <row r="99" spans="1:6" x14ac:dyDescent="0.25">
      <c r="A99" s="1">
        <v>31138</v>
      </c>
      <c r="B99" s="3">
        <v>252403.796875</v>
      </c>
      <c r="C99" s="3">
        <f t="shared" si="3"/>
        <v>247740.17812500001</v>
      </c>
      <c r="D99" s="3">
        <f>I$2+J$2*B91+K$2*B90+L$2*B89+M$2*B88</f>
        <v>242681.20375265626</v>
      </c>
      <c r="E99" s="4">
        <f t="shared" si="4"/>
        <v>1.8824636299594966E-2</v>
      </c>
      <c r="F99" s="4">
        <f t="shared" si="5"/>
        <v>4.0063230987815279E-2</v>
      </c>
    </row>
    <row r="100" spans="1:6" x14ac:dyDescent="0.25">
      <c r="A100" s="1">
        <v>31229</v>
      </c>
      <c r="B100" s="3">
        <v>255608</v>
      </c>
      <c r="C100" s="3">
        <f t="shared" si="3"/>
        <v>250274.71875</v>
      </c>
      <c r="D100" s="3">
        <f>I$2+J$2*B92+K$2*B91+L$2*B90+M$2*B89</f>
        <v>244292.12091125001</v>
      </c>
      <c r="E100" s="4">
        <f t="shared" si="4"/>
        <v>2.1309708294298124E-2</v>
      </c>
      <c r="F100" s="4">
        <f t="shared" si="5"/>
        <v>4.6321097244315101E-2</v>
      </c>
    </row>
    <row r="101" spans="1:6" x14ac:dyDescent="0.25">
      <c r="A101" s="1">
        <v>31321</v>
      </c>
      <c r="B101" s="3">
        <v>259505</v>
      </c>
      <c r="C101" s="3">
        <f t="shared" si="3"/>
        <v>253379.75937499999</v>
      </c>
      <c r="D101" s="3">
        <f>I$2+J$2*B93+K$2*B92+L$2*B91+M$2*B90</f>
        <v>247634.40856625</v>
      </c>
      <c r="E101" s="4">
        <f t="shared" si="4"/>
        <v>2.4174151242817743E-2</v>
      </c>
      <c r="F101" s="4">
        <f t="shared" si="5"/>
        <v>4.7935953256569519E-2</v>
      </c>
    </row>
    <row r="102" spans="1:6" x14ac:dyDescent="0.25">
      <c r="A102" s="1">
        <v>31413</v>
      </c>
      <c r="B102" s="3">
        <v>259373.5</v>
      </c>
      <c r="C102" s="3">
        <f t="shared" si="3"/>
        <v>255696.95937500001</v>
      </c>
      <c r="D102" s="3">
        <f>I$2+J$2*B94+K$2*B93+L$2*B92+M$2*B91</f>
        <v>251587.40507578122</v>
      </c>
      <c r="E102" s="4">
        <f t="shared" si="4"/>
        <v>1.4378507409656294E-2</v>
      </c>
      <c r="F102" s="4">
        <f t="shared" si="5"/>
        <v>3.0947872457580017E-2</v>
      </c>
    </row>
    <row r="103" spans="1:6" x14ac:dyDescent="0.25">
      <c r="A103" s="1">
        <v>31503</v>
      </c>
      <c r="B103" s="3">
        <v>260864.296875</v>
      </c>
      <c r="C103" s="3">
        <f t="shared" si="3"/>
        <v>257550.91875000001</v>
      </c>
      <c r="D103" s="3">
        <f>I$2+J$2*B95+K$2*B94+L$2*B93+M$2*B92</f>
        <v>255453.18304578125</v>
      </c>
      <c r="E103" s="4">
        <f t="shared" si="4"/>
        <v>1.2864943915095184E-2</v>
      </c>
      <c r="F103" s="4">
        <f t="shared" si="5"/>
        <v>2.1182409100179322E-2</v>
      </c>
    </row>
    <row r="104" spans="1:6" x14ac:dyDescent="0.25">
      <c r="A104" s="1">
        <v>31594</v>
      </c>
      <c r="B104" s="3">
        <v>261192.296875</v>
      </c>
      <c r="C104" s="3">
        <f t="shared" si="3"/>
        <v>259308.61874999999</v>
      </c>
      <c r="D104" s="3">
        <f>I$2+J$2*B96+K$2*B95+L$2*B94+M$2*B93</f>
        <v>257646.19191453126</v>
      </c>
      <c r="E104" s="4">
        <f t="shared" si="4"/>
        <v>7.2642326123995016E-3</v>
      </c>
      <c r="F104" s="4">
        <f t="shared" si="5"/>
        <v>1.3763467389594108E-2</v>
      </c>
    </row>
    <row r="105" spans="1:6" x14ac:dyDescent="0.25">
      <c r="A105" s="1">
        <v>31686</v>
      </c>
      <c r="B105" s="3">
        <v>259301.5</v>
      </c>
      <c r="C105" s="3">
        <f t="shared" si="3"/>
        <v>260047.31875000001</v>
      </c>
      <c r="D105" s="3">
        <f>I$2+J$2*B97+K$2*B96+L$2*B95+M$2*B94</f>
        <v>261570.19346718749</v>
      </c>
      <c r="E105" s="4">
        <f t="shared" si="4"/>
        <v>-2.8680116895072327E-3</v>
      </c>
      <c r="F105" s="4">
        <f t="shared" si="5"/>
        <v>-8.6733638765003063E-3</v>
      </c>
    </row>
    <row r="106" spans="1:6" x14ac:dyDescent="0.25">
      <c r="A106" s="1">
        <v>31778</v>
      </c>
      <c r="B106" s="3">
        <v>265295</v>
      </c>
      <c r="C106" s="3">
        <f t="shared" si="3"/>
        <v>261205.31875000001</v>
      </c>
      <c r="D106" s="3">
        <f>I$2+J$2*B98+K$2*B97+L$2*B96+M$2*B95</f>
        <v>265263.31438031245</v>
      </c>
      <c r="E106" s="4">
        <f t="shared" si="4"/>
        <v>1.5656960086307459E-2</v>
      </c>
      <c r="F106" s="4">
        <f t="shared" si="5"/>
        <v>1.1944968629218344E-4</v>
      </c>
    </row>
    <row r="107" spans="1:6" x14ac:dyDescent="0.25">
      <c r="A107" s="1">
        <v>31868</v>
      </c>
      <c r="B107" s="3">
        <v>268693.5</v>
      </c>
      <c r="C107" s="3">
        <f t="shared" si="3"/>
        <v>263069.31874999998</v>
      </c>
      <c r="D107" s="3">
        <f>I$2+J$2*B99+K$2*B98+L$2*B97+M$2*B96</f>
        <v>266750.26188406249</v>
      </c>
      <c r="E107" s="4">
        <f t="shared" si="4"/>
        <v>2.1379084709398644E-2</v>
      </c>
      <c r="F107" s="4">
        <f t="shared" si="5"/>
        <v>7.284859262039145E-3</v>
      </c>
    </row>
    <row r="108" spans="1:6" x14ac:dyDescent="0.25">
      <c r="A108" s="1">
        <v>31959</v>
      </c>
      <c r="B108" s="3">
        <v>272798.8125</v>
      </c>
      <c r="C108" s="3">
        <f t="shared" si="3"/>
        <v>265456.22187499999</v>
      </c>
      <c r="D108" s="3">
        <f>I$2+J$2*B100+K$2*B99+L$2*B98+M$2*B97</f>
        <v>270143.16113546875</v>
      </c>
      <c r="E108" s="4">
        <f t="shared" si="4"/>
        <v>2.7660269452857378E-2</v>
      </c>
      <c r="F108" s="4">
        <f t="shared" si="5"/>
        <v>9.83053338596096E-3</v>
      </c>
    </row>
    <row r="109" spans="1:6" x14ac:dyDescent="0.25">
      <c r="A109" s="1">
        <v>32051</v>
      </c>
      <c r="B109" s="3">
        <v>276323</v>
      </c>
      <c r="C109" s="3">
        <f t="shared" si="3"/>
        <v>268482.36249999999</v>
      </c>
      <c r="D109" s="3">
        <f>I$2+J$2*B101+K$2*B100+L$2*B99+M$2*B98</f>
        <v>273597.15361171874</v>
      </c>
      <c r="E109" s="4">
        <f t="shared" si="4"/>
        <v>2.9203547774949268E-2</v>
      </c>
      <c r="F109" s="4">
        <f t="shared" si="5"/>
        <v>9.96299249571031E-3</v>
      </c>
    </row>
    <row r="110" spans="1:6" x14ac:dyDescent="0.25">
      <c r="A110" s="1">
        <v>32143</v>
      </c>
      <c r="B110" s="3">
        <v>280349</v>
      </c>
      <c r="C110" s="3">
        <f t="shared" si="3"/>
        <v>272691.86249999999</v>
      </c>
      <c r="D110" s="3">
        <f>I$2+J$2*B102+K$2*B101+L$2*B100+M$2*B99</f>
        <v>274420.80483359372</v>
      </c>
      <c r="E110" s="4">
        <f t="shared" si="4"/>
        <v>2.8079816646527256E-2</v>
      </c>
      <c r="F110" s="4">
        <f t="shared" si="5"/>
        <v>2.1602571896839562E-2</v>
      </c>
    </row>
    <row r="111" spans="1:6" x14ac:dyDescent="0.25">
      <c r="A111" s="1">
        <v>32234</v>
      </c>
      <c r="B111" s="3">
        <v>282836.8125</v>
      </c>
      <c r="C111" s="3">
        <f t="shared" si="3"/>
        <v>276200.22499999998</v>
      </c>
      <c r="D111" s="3">
        <f>I$2+J$2*B103+K$2*B102+L$2*B101+M$2*B100</f>
        <v>276676.15362546872</v>
      </c>
      <c r="E111" s="4">
        <f t="shared" si="4"/>
        <v>2.4028175574440702E-2</v>
      </c>
      <c r="F111" s="4">
        <f t="shared" si="5"/>
        <v>2.2266678186045885E-2</v>
      </c>
    </row>
    <row r="112" spans="1:6" x14ac:dyDescent="0.25">
      <c r="A112" s="1">
        <v>32325</v>
      </c>
      <c r="B112" s="3">
        <v>282878.8125</v>
      </c>
      <c r="C112" s="3">
        <f t="shared" si="3"/>
        <v>279037.28749999998</v>
      </c>
      <c r="D112" s="3">
        <f>I$2+J$2*B104+K$2*B103+L$2*B102+M$2*B101</f>
        <v>277973.06018593744</v>
      </c>
      <c r="E112" s="4">
        <f t="shared" si="4"/>
        <v>1.376706688348972E-2</v>
      </c>
      <c r="F112" s="4">
        <f t="shared" si="5"/>
        <v>1.7648301280638767E-2</v>
      </c>
    </row>
    <row r="113" spans="1:6" x14ac:dyDescent="0.25">
      <c r="A113" s="1">
        <v>32417</v>
      </c>
      <c r="B113" s="3">
        <v>284820</v>
      </c>
      <c r="C113" s="3">
        <f t="shared" si="3"/>
        <v>281441.52500000002</v>
      </c>
      <c r="D113" s="3">
        <f>I$2+J$2*B105+K$2*B104+L$2*B103+M$2*B102</f>
        <v>277139.46749218751</v>
      </c>
      <c r="E113" s="4">
        <f t="shared" si="4"/>
        <v>1.2004180975071055E-2</v>
      </c>
      <c r="F113" s="4">
        <f t="shared" si="5"/>
        <v>2.7713600582814912E-2</v>
      </c>
    </row>
    <row r="114" spans="1:6" x14ac:dyDescent="0.25">
      <c r="A114" s="1">
        <v>32509</v>
      </c>
      <c r="B114" s="3">
        <v>288111</v>
      </c>
      <c r="C114" s="3">
        <f t="shared" si="3"/>
        <v>283799.125</v>
      </c>
      <c r="D114" s="3">
        <f>I$2+J$2*B106+K$2*B105+L$2*B104+M$2*B103</f>
        <v>280775.41882031248</v>
      </c>
      <c r="E114" s="4">
        <f t="shared" si="4"/>
        <v>1.5193404842245295E-2</v>
      </c>
      <c r="F114" s="4">
        <f t="shared" si="5"/>
        <v>2.6126151678477427E-2</v>
      </c>
    </row>
    <row r="115" spans="1:6" x14ac:dyDescent="0.25">
      <c r="A115" s="1">
        <v>32599</v>
      </c>
      <c r="B115" s="3">
        <v>289231.8125</v>
      </c>
      <c r="C115" s="3">
        <f t="shared" si="3"/>
        <v>285575.6875</v>
      </c>
      <c r="D115" s="3">
        <f>I$2+J$2*B107+K$2*B106+L$2*B105+M$2*B104</f>
        <v>282757.43085359375</v>
      </c>
      <c r="E115" s="4">
        <f t="shared" si="4"/>
        <v>1.2802647984520688E-2</v>
      </c>
      <c r="F115" s="4">
        <f t="shared" si="5"/>
        <v>2.289729973448007E-2</v>
      </c>
    </row>
    <row r="116" spans="1:6" x14ac:dyDescent="0.25">
      <c r="A116" s="1">
        <v>32690</v>
      </c>
      <c r="B116" s="3">
        <v>290276</v>
      </c>
      <c r="C116" s="3">
        <f t="shared" si="3"/>
        <v>287063.52500000002</v>
      </c>
      <c r="D116" s="3">
        <f>I$2+J$2*B108+K$2*B107+L$2*B106+M$2*B105</f>
        <v>285552.07477812504</v>
      </c>
      <c r="E116" s="4">
        <f t="shared" si="4"/>
        <v>1.1190815691404898E-2</v>
      </c>
      <c r="F116" s="4">
        <f t="shared" si="5"/>
        <v>1.6543130444930165E-2</v>
      </c>
    </row>
    <row r="117" spans="1:6" x14ac:dyDescent="0.25">
      <c r="A117" s="1">
        <v>32782</v>
      </c>
      <c r="B117" s="3">
        <v>289698.3125</v>
      </c>
      <c r="C117" s="3">
        <f t="shared" si="3"/>
        <v>288427.42499999999</v>
      </c>
      <c r="D117" s="3">
        <f>I$2+J$2*B109+K$2*B108+L$2*B107+M$2*B106</f>
        <v>289825.37241312501</v>
      </c>
      <c r="E117" s="4">
        <f t="shared" si="4"/>
        <v>4.4062644181634969E-3</v>
      </c>
      <c r="F117" s="4">
        <f t="shared" si="5"/>
        <v>-4.3840162118002901E-4</v>
      </c>
    </row>
    <row r="118" spans="1:6" x14ac:dyDescent="0.25">
      <c r="A118" s="1">
        <v>32874</v>
      </c>
      <c r="B118" s="3">
        <v>292484.3125</v>
      </c>
      <c r="C118" s="3">
        <f t="shared" si="3"/>
        <v>289960.28749999998</v>
      </c>
      <c r="D118" s="3">
        <f>I$2+J$2*B110+K$2*B109+L$2*B108+M$2*B107</f>
        <v>293742.10848812503</v>
      </c>
      <c r="E118" s="4">
        <f t="shared" si="4"/>
        <v>8.7047265050046452E-3</v>
      </c>
      <c r="F118" s="4">
        <f t="shared" si="5"/>
        <v>-4.2819737170092242E-3</v>
      </c>
    </row>
    <row r="119" spans="1:6" x14ac:dyDescent="0.25">
      <c r="A119" s="1">
        <v>32964</v>
      </c>
      <c r="B119" s="3">
        <v>291310.8125</v>
      </c>
      <c r="C119" s="3">
        <f t="shared" si="3"/>
        <v>290600.25</v>
      </c>
      <c r="D119" s="3">
        <f>I$2+J$2*B111+K$2*B110+L$2*B109+M$2*B108</f>
        <v>296949.32498375</v>
      </c>
      <c r="E119" s="4">
        <f t="shared" si="4"/>
        <v>2.4451544690686777E-3</v>
      </c>
      <c r="F119" s="4">
        <f t="shared" si="5"/>
        <v>-1.8988130328494779E-2</v>
      </c>
    </row>
    <row r="120" spans="1:6" x14ac:dyDescent="0.25">
      <c r="A120" s="1">
        <v>33055</v>
      </c>
      <c r="B120" s="3">
        <v>289223</v>
      </c>
      <c r="C120" s="3">
        <f t="shared" si="3"/>
        <v>290598.48749999999</v>
      </c>
      <c r="D120" s="3">
        <f>I$2+J$2*B112+K$2*B111+L$2*B110+M$2*B109</f>
        <v>298653.89291624998</v>
      </c>
      <c r="E120" s="4">
        <f t="shared" si="4"/>
        <v>-4.7332920134348644E-3</v>
      </c>
      <c r="F120" s="4">
        <f t="shared" si="5"/>
        <v>-3.1578000956761776E-2</v>
      </c>
    </row>
    <row r="121" spans="1:6" x14ac:dyDescent="0.25">
      <c r="A121" s="1">
        <v>33147</v>
      </c>
      <c r="B121" s="3">
        <v>286647.8125</v>
      </c>
      <c r="C121" s="3">
        <f t="shared" si="3"/>
        <v>289872.84999999998</v>
      </c>
      <c r="D121" s="3">
        <f>I$2+J$2*B113+K$2*B112+L$2*B111+M$2*B110</f>
        <v>301180.15820124996</v>
      </c>
      <c r="E121" s="4">
        <f t="shared" si="4"/>
        <v>-1.1125697008188218E-2</v>
      </c>
      <c r="F121" s="4">
        <f t="shared" si="5"/>
        <v>-4.8251338295464241E-2</v>
      </c>
    </row>
    <row r="122" spans="1:6" x14ac:dyDescent="0.25">
      <c r="A122" s="1">
        <v>33239</v>
      </c>
      <c r="B122" s="3">
        <v>282524</v>
      </c>
      <c r="C122" s="3">
        <f t="shared" si="3"/>
        <v>288437.98749999999</v>
      </c>
      <c r="D122" s="3">
        <f>I$2+J$2*B114+K$2*B113+L$2*B112+M$2*B111</f>
        <v>303764.92596874997</v>
      </c>
      <c r="E122" s="4">
        <f t="shared" si="4"/>
        <v>-2.0503497307198471E-2</v>
      </c>
      <c r="F122" s="4">
        <f t="shared" si="5"/>
        <v>-6.9925538312264335E-2</v>
      </c>
    </row>
    <row r="123" spans="1:6" x14ac:dyDescent="0.25">
      <c r="A123" s="1">
        <v>33329</v>
      </c>
      <c r="B123" s="3">
        <v>283880</v>
      </c>
      <c r="C123" s="3">
        <f t="shared" si="3"/>
        <v>286717.125</v>
      </c>
      <c r="D123" s="3">
        <f>I$2+J$2*B115+K$2*B114+L$2*B113+M$2*B112</f>
        <v>304847.54472374998</v>
      </c>
      <c r="E123" s="4">
        <f t="shared" si="4"/>
        <v>-9.8952059455813535E-3</v>
      </c>
      <c r="F123" s="4">
        <f t="shared" si="5"/>
        <v>-6.8780428403156679E-2</v>
      </c>
    </row>
    <row r="124" spans="1:6" x14ac:dyDescent="0.25">
      <c r="A124" s="1">
        <v>33420</v>
      </c>
      <c r="B124" s="3">
        <v>284256.5</v>
      </c>
      <c r="C124" s="3">
        <f t="shared" si="3"/>
        <v>285306.26250000001</v>
      </c>
      <c r="D124" s="3">
        <f>I$2+J$2*B116+K$2*B115+L$2*B114+M$2*B113</f>
        <v>306490.81377812498</v>
      </c>
      <c r="E124" s="4">
        <f t="shared" si="4"/>
        <v>-3.6794232653761805E-3</v>
      </c>
      <c r="F124" s="4">
        <f t="shared" si="5"/>
        <v>-7.2544796707091019E-2</v>
      </c>
    </row>
    <row r="125" spans="1:6" x14ac:dyDescent="0.25">
      <c r="A125" s="1">
        <v>33512</v>
      </c>
      <c r="B125" s="3">
        <v>284756</v>
      </c>
      <c r="C125" s="3">
        <f t="shared" si="3"/>
        <v>284412.86249999999</v>
      </c>
      <c r="D125" s="3">
        <f>I$2+J$2*B117+K$2*B116+L$2*B115+M$2*B114</f>
        <v>307288.88300625002</v>
      </c>
      <c r="E125" s="4">
        <f t="shared" si="4"/>
        <v>1.206476728878636E-3</v>
      </c>
      <c r="F125" s="4">
        <f t="shared" si="5"/>
        <v>-7.3328012343979676E-2</v>
      </c>
    </row>
    <row r="126" spans="1:6" x14ac:dyDescent="0.25">
      <c r="A126" s="1">
        <v>33604</v>
      </c>
      <c r="B126" s="3">
        <v>284957</v>
      </c>
      <c r="C126" s="3">
        <f t="shared" si="3"/>
        <v>284074.7</v>
      </c>
      <c r="D126" s="3">
        <f>I$2+J$2*B118+K$2*B117+L$2*B116+M$2*B115</f>
        <v>309242.59086187498</v>
      </c>
      <c r="E126" s="4">
        <f t="shared" si="4"/>
        <v>3.1058732087017038E-3</v>
      </c>
      <c r="F126" s="4">
        <f t="shared" si="5"/>
        <v>-7.8532490606128325E-2</v>
      </c>
    </row>
    <row r="127" spans="1:6" x14ac:dyDescent="0.25">
      <c r="A127" s="1">
        <v>33695</v>
      </c>
      <c r="B127" s="3">
        <v>285281.8125</v>
      </c>
      <c r="C127" s="3">
        <f t="shared" si="3"/>
        <v>284626.26250000001</v>
      </c>
      <c r="D127" s="3">
        <f>I$2+J$2*B119+K$2*B118+L$2*B117+M$2*B116</f>
        <v>308943.70017937501</v>
      </c>
      <c r="E127" s="4">
        <f t="shared" si="4"/>
        <v>2.3031957565755601E-3</v>
      </c>
      <c r="F127" s="4">
        <f t="shared" si="5"/>
        <v>-7.6589642920819379E-2</v>
      </c>
    </row>
    <row r="128" spans="1:6" x14ac:dyDescent="0.25">
      <c r="A128" s="1">
        <v>33786</v>
      </c>
      <c r="B128" s="3">
        <v>286827</v>
      </c>
      <c r="C128" s="3">
        <f t="shared" si="3"/>
        <v>285215.66249999998</v>
      </c>
      <c r="D128" s="3">
        <f>I$2+J$2*B120+K$2*B119+L$2*B118+M$2*B117</f>
        <v>307994.08073687501</v>
      </c>
      <c r="E128" s="4">
        <f t="shared" si="4"/>
        <v>5.6495407225400918E-3</v>
      </c>
      <c r="F128" s="4">
        <f t="shared" si="5"/>
        <v>-6.8725608902069912E-2</v>
      </c>
    </row>
    <row r="129" spans="1:6" x14ac:dyDescent="0.25">
      <c r="A129" s="1">
        <v>33878</v>
      </c>
      <c r="B129" s="3">
        <v>288461.3125</v>
      </c>
      <c r="C129" s="3">
        <f t="shared" si="3"/>
        <v>286056.625</v>
      </c>
      <c r="D129" s="3">
        <f>I$2+J$2*B121+K$2*B120+L$2*B119+M$2*B118</f>
        <v>307059.955551875</v>
      </c>
      <c r="E129" s="4">
        <f t="shared" si="4"/>
        <v>8.4063338858171299E-3</v>
      </c>
      <c r="F129" s="4">
        <f t="shared" si="5"/>
        <v>-6.0570070162512368E-2</v>
      </c>
    </row>
    <row r="130" spans="1:6" x14ac:dyDescent="0.25">
      <c r="A130" s="1">
        <v>33970</v>
      </c>
      <c r="B130" s="3">
        <v>290292.8125</v>
      </c>
      <c r="C130" s="3">
        <f t="shared" si="3"/>
        <v>287163.98749999999</v>
      </c>
      <c r="D130" s="3">
        <f>I$2+J$2*B122+K$2*B121+L$2*B120+M$2*B119</f>
        <v>304041.61776375002</v>
      </c>
      <c r="E130" s="4">
        <f t="shared" si="4"/>
        <v>1.0895603683592103E-2</v>
      </c>
      <c r="F130" s="4">
        <f t="shared" si="5"/>
        <v>-4.5220142442582545E-2</v>
      </c>
    </row>
    <row r="131" spans="1:6" x14ac:dyDescent="0.25">
      <c r="A131" s="1">
        <v>34060</v>
      </c>
      <c r="B131" s="3">
        <v>292937</v>
      </c>
      <c r="C131" s="3">
        <f t="shared" si="3"/>
        <v>288759.98749999999</v>
      </c>
      <c r="D131" s="3">
        <f>I$2+J$2*B123+K$2*B122+L$2*B121+M$2*B120</f>
        <v>303621.76025312499</v>
      </c>
      <c r="E131" s="4">
        <f t="shared" si="4"/>
        <v>1.4465343817761545E-2</v>
      </c>
      <c r="F131" s="4">
        <f t="shared" si="5"/>
        <v>-3.5191022686309581E-2</v>
      </c>
    </row>
    <row r="132" spans="1:6" x14ac:dyDescent="0.25">
      <c r="A132" s="1">
        <v>34151</v>
      </c>
      <c r="B132" s="3">
        <v>295738.5</v>
      </c>
      <c r="C132" s="3">
        <f t="shared" si="3"/>
        <v>290851.32500000001</v>
      </c>
      <c r="D132" s="3">
        <f>I$2+J$2*B124+K$2*B123+L$2*B122+M$2*B121</f>
        <v>302589.69294062501</v>
      </c>
      <c r="E132" s="4">
        <f t="shared" si="4"/>
        <v>1.680300063958784E-2</v>
      </c>
      <c r="F132" s="4">
        <f t="shared" si="5"/>
        <v>-2.2641858267027581E-2</v>
      </c>
    </row>
    <row r="133" spans="1:6" x14ac:dyDescent="0.25">
      <c r="A133" s="1">
        <v>34243</v>
      </c>
      <c r="B133" s="3">
        <v>297003.5</v>
      </c>
      <c r="C133" s="3">
        <f t="shared" si="3"/>
        <v>292886.625</v>
      </c>
      <c r="D133" s="3">
        <f>I$2+J$2*B125+K$2*B124+L$2*B123+M$2*B122</f>
        <v>301961.95170500001</v>
      </c>
      <c r="E133" s="4">
        <f t="shared" si="4"/>
        <v>1.4056206902585577E-2</v>
      </c>
      <c r="F133" s="4">
        <f t="shared" si="5"/>
        <v>-1.6420783072180423E-2</v>
      </c>
    </row>
    <row r="134" spans="1:6" x14ac:dyDescent="0.25">
      <c r="A134" s="1">
        <v>34335</v>
      </c>
      <c r="B134" s="3">
        <v>301382.8125</v>
      </c>
      <c r="C134" s="3">
        <f t="shared" si="3"/>
        <v>295470.92499999999</v>
      </c>
      <c r="D134" s="3">
        <f>I$2+J$2*B126+K$2*B125+L$2*B124+M$2*B123</f>
        <v>302522.10159500001</v>
      </c>
      <c r="E134" s="4">
        <f t="shared" si="4"/>
        <v>2.0008356152132478E-2</v>
      </c>
      <c r="F134" s="4">
        <f t="shared" si="5"/>
        <v>-3.765969788631307E-3</v>
      </c>
    </row>
    <row r="135" spans="1:6" x14ac:dyDescent="0.25">
      <c r="A135" s="1">
        <v>34425</v>
      </c>
      <c r="B135" s="3">
        <v>305782.5</v>
      </c>
      <c r="C135" s="3">
        <f t="shared" ref="C135:C198" si="6">AVERAGE(B131:B135)</f>
        <v>298568.86249999999</v>
      </c>
      <c r="D135" s="3">
        <f>I$2+J$2*B127+K$2*B126+L$2*B125+M$2*B124</f>
        <v>302886.41588312498</v>
      </c>
      <c r="E135" s="4">
        <f t="shared" si="4"/>
        <v>2.4160716022421758E-2</v>
      </c>
      <c r="F135" s="4">
        <f t="shared" si="5"/>
        <v>9.5616177055379836E-3</v>
      </c>
    </row>
    <row r="136" spans="1:6" x14ac:dyDescent="0.25">
      <c r="A136" s="1">
        <v>34516</v>
      </c>
      <c r="B136" s="3">
        <v>309702.8125</v>
      </c>
      <c r="C136" s="3">
        <f t="shared" si="6"/>
        <v>301922.02500000002</v>
      </c>
      <c r="D136" s="3">
        <f>I$2+J$2*B128+K$2*B127+L$2*B126+M$2*B125</f>
        <v>303914.53736812499</v>
      </c>
      <c r="E136" s="4">
        <f t="shared" si="4"/>
        <v>2.5770850934111245E-2</v>
      </c>
      <c r="F136" s="4">
        <f t="shared" si="5"/>
        <v>1.904573299454837E-2</v>
      </c>
    </row>
    <row r="137" spans="1:6" x14ac:dyDescent="0.25">
      <c r="A137" s="1">
        <v>34608</v>
      </c>
      <c r="B137" s="3">
        <v>311952.5</v>
      </c>
      <c r="C137" s="3">
        <f t="shared" si="6"/>
        <v>305164.82500000001</v>
      </c>
      <c r="D137" s="3">
        <f>I$2+J$2*B129+K$2*B128+L$2*B127+M$2*B126</f>
        <v>304992.05558624998</v>
      </c>
      <c r="E137" s="4">
        <f t="shared" si="4"/>
        <v>2.2242651983235495E-2</v>
      </c>
      <c r="F137" s="4">
        <f t="shared" si="5"/>
        <v>2.2821723668738914E-2</v>
      </c>
    </row>
    <row r="138" spans="1:6" x14ac:dyDescent="0.25">
      <c r="A138" s="1">
        <v>34700</v>
      </c>
      <c r="B138" s="3">
        <v>314818.8125</v>
      </c>
      <c r="C138" s="3">
        <f t="shared" si="6"/>
        <v>308727.88750000001</v>
      </c>
      <c r="D138" s="3">
        <f>I$2+J$2*B130+K$2*B129+L$2*B128+M$2*B127</f>
        <v>306395.936746875</v>
      </c>
      <c r="E138" s="4">
        <f t="shared" si="4"/>
        <v>1.9729105295031024E-2</v>
      </c>
      <c r="F138" s="4">
        <f t="shared" si="5"/>
        <v>2.7490167926356834E-2</v>
      </c>
    </row>
    <row r="139" spans="1:6" x14ac:dyDescent="0.25">
      <c r="A139" s="1">
        <v>34790</v>
      </c>
      <c r="B139" s="3">
        <v>314952.5</v>
      </c>
      <c r="C139" s="3">
        <f t="shared" si="6"/>
        <v>311441.82500000001</v>
      </c>
      <c r="D139" s="3">
        <f>I$2+J$2*B131+K$2*B130+L$2*B129+M$2*B128</f>
        <v>308599.78025625</v>
      </c>
      <c r="E139" s="4">
        <f t="shared" si="4"/>
        <v>1.127232991265692E-2</v>
      </c>
      <c r="F139" s="4">
        <f t="shared" si="5"/>
        <v>2.0585626271266033E-2</v>
      </c>
    </row>
    <row r="140" spans="1:6" x14ac:dyDescent="0.25">
      <c r="A140" s="1">
        <v>34881</v>
      </c>
      <c r="B140" s="3">
        <v>315368.8125</v>
      </c>
      <c r="C140" s="3">
        <f t="shared" si="6"/>
        <v>313359.08750000002</v>
      </c>
      <c r="D140" s="3">
        <f>I$2+J$2*B132+K$2*B131+L$2*B130+M$2*B129</f>
        <v>310985.33169875003</v>
      </c>
      <c r="E140" s="4">
        <f t="shared" si="4"/>
        <v>6.4134888061926354E-3</v>
      </c>
      <c r="F140" s="4">
        <f t="shared" si="5"/>
        <v>1.4095458384822512E-2</v>
      </c>
    </row>
    <row r="141" spans="1:6" x14ac:dyDescent="0.25">
      <c r="A141" s="1">
        <v>34973</v>
      </c>
      <c r="B141" s="3">
        <v>316641.5</v>
      </c>
      <c r="C141" s="3">
        <f t="shared" si="6"/>
        <v>314746.82500000001</v>
      </c>
      <c r="D141" s="3">
        <f>I$2+J$2*B133+K$2*B132+L$2*B131+M$2*B130</f>
        <v>312711.58929562499</v>
      </c>
      <c r="E141" s="4">
        <f t="shared" si="4"/>
        <v>6.019679467775374E-3</v>
      </c>
      <c r="F141" s="4">
        <f t="shared" si="5"/>
        <v>1.2567205178506624E-2</v>
      </c>
    </row>
    <row r="142" spans="1:6" x14ac:dyDescent="0.25">
      <c r="A142" s="1">
        <v>35065</v>
      </c>
      <c r="B142" s="3">
        <v>317101</v>
      </c>
      <c r="C142" s="3">
        <f t="shared" si="6"/>
        <v>315776.52500000002</v>
      </c>
      <c r="D142" s="3">
        <f>I$2+J$2*B134+K$2*B133+L$2*B132+M$2*B131</f>
        <v>316306.73224812502</v>
      </c>
      <c r="E142" s="4">
        <f t="shared" ref="E142:E205" si="7">B142/C142-1</f>
        <v>4.1943428188653264E-3</v>
      </c>
      <c r="F142" s="4">
        <f t="shared" ref="F142:F205" si="8">B142/D142-1</f>
        <v>2.5110681212181518E-3</v>
      </c>
    </row>
    <row r="143" spans="1:6" x14ac:dyDescent="0.25">
      <c r="A143" s="1">
        <v>35156</v>
      </c>
      <c r="B143" s="3">
        <v>319358.5</v>
      </c>
      <c r="C143" s="3">
        <f t="shared" si="6"/>
        <v>316684.46250000002</v>
      </c>
      <c r="D143" s="3">
        <f>I$2+J$2*B135+K$2*B134+L$2*B133+M$2*B132</f>
        <v>319890.959603125</v>
      </c>
      <c r="E143" s="4">
        <f t="shared" si="7"/>
        <v>8.4438544249703096E-3</v>
      </c>
      <c r="F143" s="4">
        <f t="shared" si="8"/>
        <v>-1.664503441377585E-3</v>
      </c>
    </row>
    <row r="144" spans="1:6" x14ac:dyDescent="0.25">
      <c r="A144" s="1">
        <v>35247</v>
      </c>
      <c r="B144" s="3">
        <v>322040.8125</v>
      </c>
      <c r="C144" s="3">
        <f t="shared" si="6"/>
        <v>318102.125</v>
      </c>
      <c r="D144" s="3">
        <f>I$2+J$2*B136+K$2*B135+L$2*B134+M$2*B133</f>
        <v>323255.91877124994</v>
      </c>
      <c r="E144" s="4">
        <f t="shared" si="7"/>
        <v>1.238183334990306E-2</v>
      </c>
      <c r="F144" s="4">
        <f t="shared" si="8"/>
        <v>-3.7589606274457399E-3</v>
      </c>
    </row>
    <row r="145" spans="1:6" x14ac:dyDescent="0.25">
      <c r="A145" s="1">
        <v>35339</v>
      </c>
      <c r="B145" s="3">
        <v>324592.3125</v>
      </c>
      <c r="C145" s="3">
        <f t="shared" si="6"/>
        <v>319946.82500000001</v>
      </c>
      <c r="D145" s="3">
        <f>I$2+J$2*B137+K$2*B136+L$2*B135+M$2*B134</f>
        <v>326531.00447375001</v>
      </c>
      <c r="E145" s="4">
        <f t="shared" si="7"/>
        <v>1.4519561180205365E-2</v>
      </c>
      <c r="F145" s="4">
        <f t="shared" si="8"/>
        <v>-5.93723703779514E-3</v>
      </c>
    </row>
    <row r="146" spans="1:6" x14ac:dyDescent="0.25">
      <c r="A146" s="1">
        <v>35431</v>
      </c>
      <c r="B146" s="3">
        <v>328941.5</v>
      </c>
      <c r="C146" s="3">
        <f t="shared" si="6"/>
        <v>322406.82500000001</v>
      </c>
      <c r="D146" s="3">
        <f>I$2+J$2*B138+K$2*B137+L$2*B136+M$2*B135</f>
        <v>329991.50058125</v>
      </c>
      <c r="E146" s="4">
        <f t="shared" si="7"/>
        <v>2.02684139828615E-2</v>
      </c>
      <c r="F146" s="4">
        <f t="shared" si="8"/>
        <v>-3.1819018956564804E-3</v>
      </c>
    </row>
    <row r="147" spans="1:6" x14ac:dyDescent="0.25">
      <c r="A147" s="1">
        <v>35521</v>
      </c>
      <c r="B147" s="3">
        <v>332643.3125</v>
      </c>
      <c r="C147" s="3">
        <f t="shared" si="6"/>
        <v>325515.28749999998</v>
      </c>
      <c r="D147" s="3">
        <f>I$2+J$2*B139+K$2*B138+L$2*B137+M$2*B136</f>
        <v>331611.41053375002</v>
      </c>
      <c r="E147" s="4">
        <f t="shared" si="7"/>
        <v>2.1897665866153826E-2</v>
      </c>
      <c r="F147" s="4">
        <f t="shared" si="8"/>
        <v>3.1117806368274881E-3</v>
      </c>
    </row>
    <row r="148" spans="1:6" x14ac:dyDescent="0.25">
      <c r="A148" s="1">
        <v>35612</v>
      </c>
      <c r="B148" s="3">
        <v>336586.8125</v>
      </c>
      <c r="C148" s="3">
        <f t="shared" si="6"/>
        <v>328960.95</v>
      </c>
      <c r="D148" s="3">
        <f>I$2+J$2*B140+K$2*B139+L$2*B138+M$2*B137</f>
        <v>332880.82454125001</v>
      </c>
      <c r="E148" s="4">
        <f t="shared" si="7"/>
        <v>2.3181664875420616E-2</v>
      </c>
      <c r="F148" s="4">
        <f t="shared" si="8"/>
        <v>1.1133077322363905E-2</v>
      </c>
    </row>
    <row r="149" spans="1:6" x14ac:dyDescent="0.25">
      <c r="A149" s="1">
        <v>35704</v>
      </c>
      <c r="B149" s="3">
        <v>339839.5</v>
      </c>
      <c r="C149" s="3">
        <f t="shared" si="6"/>
        <v>332520.6875</v>
      </c>
      <c r="D149" s="3">
        <f>I$2+J$2*B141+K$2*B140+L$2*B139+M$2*B138</f>
        <v>334397.93392374995</v>
      </c>
      <c r="E149" s="4">
        <f t="shared" si="7"/>
        <v>2.2010096740221696E-2</v>
      </c>
      <c r="F149" s="4">
        <f t="shared" si="8"/>
        <v>1.6272726366457935E-2</v>
      </c>
    </row>
    <row r="150" spans="1:6" x14ac:dyDescent="0.25">
      <c r="A150" s="1">
        <v>35796</v>
      </c>
      <c r="B150" s="3">
        <v>344638</v>
      </c>
      <c r="C150" s="3">
        <f t="shared" si="6"/>
        <v>336529.82500000001</v>
      </c>
      <c r="D150" s="3">
        <f>I$2+J$2*B142+K$2*B141+L$2*B140+M$2*B139</f>
        <v>334813.43240312499</v>
      </c>
      <c r="E150" s="4">
        <f t="shared" si="7"/>
        <v>2.4093481164707997E-2</v>
      </c>
      <c r="F150" s="4">
        <f t="shared" si="8"/>
        <v>2.9343409332054371E-2</v>
      </c>
    </row>
    <row r="151" spans="1:6" x14ac:dyDescent="0.25">
      <c r="A151" s="1">
        <v>35886</v>
      </c>
      <c r="B151" s="3">
        <v>344820.5</v>
      </c>
      <c r="C151" s="3">
        <f t="shared" si="6"/>
        <v>339705.625</v>
      </c>
      <c r="D151" s="3">
        <f>I$2+J$2*B143+K$2*B142+L$2*B141+M$2*B140</f>
        <v>336374.03807562502</v>
      </c>
      <c r="E151" s="4">
        <f t="shared" si="7"/>
        <v>1.5056786298431213E-2</v>
      </c>
      <c r="F151" s="4">
        <f t="shared" si="8"/>
        <v>2.5110326506458946E-2</v>
      </c>
    </row>
    <row r="152" spans="1:6" x14ac:dyDescent="0.25">
      <c r="A152" s="1">
        <v>35977</v>
      </c>
      <c r="B152" s="3">
        <v>347962.5</v>
      </c>
      <c r="C152" s="3">
        <f t="shared" si="6"/>
        <v>342769.46250000002</v>
      </c>
      <c r="D152" s="3">
        <f>I$2+J$2*B144+K$2*B143+L$2*B142+M$2*B141</f>
        <v>338373.42402812501</v>
      </c>
      <c r="E152" s="4">
        <f t="shared" si="7"/>
        <v>1.5150233810574676E-2</v>
      </c>
      <c r="F152" s="4">
        <f t="shared" si="8"/>
        <v>2.8338738479290138E-2</v>
      </c>
    </row>
    <row r="153" spans="1:6" x14ac:dyDescent="0.25">
      <c r="A153" s="1">
        <v>36069</v>
      </c>
      <c r="B153" s="3">
        <v>352677.3125</v>
      </c>
      <c r="C153" s="3">
        <f t="shared" si="6"/>
        <v>345987.5625</v>
      </c>
      <c r="D153" s="3">
        <f>I$2+J$2*B145+K$2*B144+L$2*B143+M$2*B142</f>
        <v>340367.67192624998</v>
      </c>
      <c r="E153" s="4">
        <f t="shared" si="7"/>
        <v>1.9335232606807917E-2</v>
      </c>
      <c r="F153" s="4">
        <f t="shared" si="8"/>
        <v>3.6165716044904705E-2</v>
      </c>
    </row>
    <row r="154" spans="1:6" x14ac:dyDescent="0.25">
      <c r="A154" s="1">
        <v>36161</v>
      </c>
      <c r="B154" s="3">
        <v>359045</v>
      </c>
      <c r="C154" s="3">
        <f t="shared" si="6"/>
        <v>349828.66249999998</v>
      </c>
      <c r="D154" s="3">
        <f>I$2+J$2*B146+K$2*B145+L$2*B144+M$2*B143</f>
        <v>343890.53742625</v>
      </c>
      <c r="E154" s="4">
        <f t="shared" si="7"/>
        <v>2.6345289817411688E-2</v>
      </c>
      <c r="F154" s="4">
        <f t="shared" si="8"/>
        <v>4.4067692839614647E-2</v>
      </c>
    </row>
    <row r="155" spans="1:6" x14ac:dyDescent="0.25">
      <c r="A155" s="1">
        <v>36251</v>
      </c>
      <c r="B155" s="3">
        <v>362006.3125</v>
      </c>
      <c r="C155" s="3">
        <f t="shared" si="6"/>
        <v>353302.32500000001</v>
      </c>
      <c r="D155" s="3">
        <f>I$2+J$2*B147+K$2*B146+L$2*B145+M$2*B144</f>
        <v>347248.70605187496</v>
      </c>
      <c r="E155" s="4">
        <f t="shared" si="7"/>
        <v>2.4636088936012435E-2</v>
      </c>
      <c r="F155" s="4">
        <f t="shared" si="8"/>
        <v>4.2498665051671658E-2</v>
      </c>
    </row>
    <row r="156" spans="1:6" x14ac:dyDescent="0.25">
      <c r="A156" s="1">
        <v>36342</v>
      </c>
      <c r="B156" s="3">
        <v>367680.5</v>
      </c>
      <c r="C156" s="3">
        <f t="shared" si="6"/>
        <v>357874.32500000001</v>
      </c>
      <c r="D156" s="3">
        <f>I$2+J$2*B148+K$2*B147+L$2*B146+M$2*B145</f>
        <v>350935.29769687506</v>
      </c>
      <c r="E156" s="4">
        <f t="shared" si="7"/>
        <v>2.7401169390958602E-2</v>
      </c>
      <c r="F156" s="4">
        <f t="shared" si="8"/>
        <v>4.7715924881368998E-2</v>
      </c>
    </row>
    <row r="157" spans="1:6" x14ac:dyDescent="0.25">
      <c r="A157" s="1">
        <v>36434</v>
      </c>
      <c r="B157" s="3">
        <v>372831.5</v>
      </c>
      <c r="C157" s="3">
        <f t="shared" si="6"/>
        <v>362848.125</v>
      </c>
      <c r="D157" s="3">
        <f>I$2+J$2*B149+K$2*B148+L$2*B147+M$2*B146</f>
        <v>354649.39988624997</v>
      </c>
      <c r="E157" s="4">
        <f t="shared" si="7"/>
        <v>2.7513921974930966E-2</v>
      </c>
      <c r="F157" s="4">
        <f t="shared" si="8"/>
        <v>5.1267815819177276E-2</v>
      </c>
    </row>
    <row r="158" spans="1:6" x14ac:dyDescent="0.25">
      <c r="A158" s="1">
        <v>36526</v>
      </c>
      <c r="B158" s="3">
        <v>378669</v>
      </c>
      <c r="C158" s="3">
        <f t="shared" si="6"/>
        <v>368046.46250000002</v>
      </c>
      <c r="D158" s="3">
        <f>I$2+J$2*B150+K$2*B149+L$2*B148+M$2*B147</f>
        <v>359033.41679875</v>
      </c>
      <c r="E158" s="4">
        <f t="shared" si="7"/>
        <v>2.8861947015724976E-2</v>
      </c>
      <c r="F158" s="4">
        <f t="shared" si="8"/>
        <v>5.4690127109411568E-2</v>
      </c>
    </row>
    <row r="159" spans="1:6" x14ac:dyDescent="0.25">
      <c r="A159" s="1">
        <v>36617</v>
      </c>
      <c r="B159" s="3">
        <v>383125.8125</v>
      </c>
      <c r="C159" s="3">
        <f t="shared" si="6"/>
        <v>372862.625</v>
      </c>
      <c r="D159" s="3">
        <f>I$2+J$2*B151+K$2*B150+L$2*B149+M$2*B148</f>
        <v>360934.89374562498</v>
      </c>
      <c r="E159" s="4">
        <f t="shared" si="7"/>
        <v>2.7525385522348955E-2</v>
      </c>
      <c r="F159" s="4">
        <f t="shared" si="8"/>
        <v>6.1481777292539785E-2</v>
      </c>
    </row>
    <row r="160" spans="1:6" x14ac:dyDescent="0.25">
      <c r="A160" s="1">
        <v>36708</v>
      </c>
      <c r="B160" s="3">
        <v>387053</v>
      </c>
      <c r="C160" s="3">
        <f t="shared" si="6"/>
        <v>377871.96250000002</v>
      </c>
      <c r="D160" s="3">
        <f>I$2+J$2*B152+K$2*B151+L$2*B150+M$2*B149</f>
        <v>364256.64168500004</v>
      </c>
      <c r="E160" s="4">
        <f t="shared" si="7"/>
        <v>2.4296688855289128E-2</v>
      </c>
      <c r="F160" s="4">
        <f t="shared" si="8"/>
        <v>6.2583233100561131E-2</v>
      </c>
    </row>
    <row r="161" spans="1:6" x14ac:dyDescent="0.25">
      <c r="A161" s="1">
        <v>36800</v>
      </c>
      <c r="B161" s="3">
        <v>387818.5</v>
      </c>
      <c r="C161" s="3">
        <f t="shared" si="6"/>
        <v>381899.5625</v>
      </c>
      <c r="D161" s="3">
        <f>I$2+J$2*B153+K$2*B152+L$2*B151+M$2*B150</f>
        <v>368332.02313312498</v>
      </c>
      <c r="E161" s="4">
        <f t="shared" si="7"/>
        <v>1.5498675780755811E-2</v>
      </c>
      <c r="F161" s="4">
        <f t="shared" si="8"/>
        <v>5.2904650269390396E-2</v>
      </c>
    </row>
    <row r="162" spans="1:6" x14ac:dyDescent="0.25">
      <c r="A162" s="1">
        <v>36892</v>
      </c>
      <c r="B162" s="3">
        <v>390001.5</v>
      </c>
      <c r="C162" s="3">
        <f t="shared" si="6"/>
        <v>385333.5625</v>
      </c>
      <c r="D162" s="3">
        <f>I$2+J$2*B154+K$2*B153+L$2*B152+M$2*B151</f>
        <v>372576.11758312501</v>
      </c>
      <c r="E162" s="4">
        <f t="shared" si="7"/>
        <v>1.2114017449492254E-2</v>
      </c>
      <c r="F162" s="4">
        <f t="shared" si="8"/>
        <v>4.6769993014883049E-2</v>
      </c>
    </row>
    <row r="163" spans="1:6" x14ac:dyDescent="0.25">
      <c r="A163" s="1">
        <v>36982</v>
      </c>
      <c r="B163" s="3">
        <v>391228</v>
      </c>
      <c r="C163" s="3">
        <f t="shared" si="6"/>
        <v>387845.36249999999</v>
      </c>
      <c r="D163" s="3">
        <f>I$2+J$2*B155+K$2*B154+L$2*B153+M$2*B152</f>
        <v>376078.21512625</v>
      </c>
      <c r="E163" s="4">
        <f t="shared" si="7"/>
        <v>8.7216138880608085E-3</v>
      </c>
      <c r="F163" s="4">
        <f t="shared" si="8"/>
        <v>4.0283601294651472E-2</v>
      </c>
    </row>
    <row r="164" spans="1:6" x14ac:dyDescent="0.25">
      <c r="A164" s="1">
        <v>37073</v>
      </c>
      <c r="B164" s="3">
        <v>390953</v>
      </c>
      <c r="C164" s="3">
        <f t="shared" si="6"/>
        <v>389410.8</v>
      </c>
      <c r="D164" s="3">
        <f>I$2+J$2*B156+K$2*B155+L$2*B154+M$2*B153</f>
        <v>381559.58053874999</v>
      </c>
      <c r="E164" s="4">
        <f t="shared" si="7"/>
        <v>3.9603421374034831E-3</v>
      </c>
      <c r="F164" s="4">
        <f t="shared" si="8"/>
        <v>2.461848670654998E-2</v>
      </c>
    </row>
    <row r="165" spans="1:6" x14ac:dyDescent="0.25">
      <c r="A165" s="1">
        <v>37165</v>
      </c>
      <c r="B165" s="3">
        <v>393297.8125</v>
      </c>
      <c r="C165" s="3">
        <f t="shared" si="6"/>
        <v>390659.76250000001</v>
      </c>
      <c r="D165" s="3">
        <f>I$2+J$2*B157+K$2*B156+L$2*B155+M$2*B154</f>
        <v>386842.11837812501</v>
      </c>
      <c r="E165" s="4">
        <f t="shared" si="7"/>
        <v>6.7528070541946761E-3</v>
      </c>
      <c r="F165" s="4">
        <f t="shared" si="8"/>
        <v>1.6688188320705954E-2</v>
      </c>
    </row>
    <row r="166" spans="1:6" x14ac:dyDescent="0.25">
      <c r="A166" s="1">
        <v>37257</v>
      </c>
      <c r="B166" s="3">
        <v>399048.5</v>
      </c>
      <c r="C166" s="3">
        <f t="shared" si="6"/>
        <v>392905.76250000001</v>
      </c>
      <c r="D166" s="3">
        <f>I$2+J$2*B158+K$2*B157+L$2*B156+M$2*B155</f>
        <v>391947.77543062501</v>
      </c>
      <c r="E166" s="4">
        <f t="shared" si="7"/>
        <v>1.5634124225907708E-2</v>
      </c>
      <c r="F166" s="4">
        <f t="shared" si="8"/>
        <v>1.8116506877921656E-2</v>
      </c>
    </row>
    <row r="167" spans="1:6" x14ac:dyDescent="0.25">
      <c r="A167" s="1">
        <v>37347</v>
      </c>
      <c r="B167" s="3">
        <v>401406.3125</v>
      </c>
      <c r="C167" s="3">
        <f t="shared" si="6"/>
        <v>395186.72499999998</v>
      </c>
      <c r="D167" s="3">
        <f>I$2+J$2*B159+K$2*B158+L$2*B157+M$2*B156</f>
        <v>396993.54927812499</v>
      </c>
      <c r="E167" s="4">
        <f t="shared" si="7"/>
        <v>1.5738351281916252E-2</v>
      </c>
      <c r="F167" s="4">
        <f t="shared" si="8"/>
        <v>1.111545321050933E-2</v>
      </c>
    </row>
    <row r="168" spans="1:6" x14ac:dyDescent="0.25">
      <c r="A168" s="1">
        <v>37438</v>
      </c>
      <c r="B168" s="3">
        <v>404877.3125</v>
      </c>
      <c r="C168" s="3">
        <f t="shared" si="6"/>
        <v>397916.58750000002</v>
      </c>
      <c r="D168" s="3">
        <f>I$2+J$2*B160+K$2*B159+L$2*B158+M$2*B157</f>
        <v>401636.73940312502</v>
      </c>
      <c r="E168" s="4">
        <f t="shared" si="7"/>
        <v>1.7492924946236332E-2</v>
      </c>
      <c r="F168" s="4">
        <f t="shared" si="8"/>
        <v>8.0684179980416992E-3</v>
      </c>
    </row>
    <row r="169" spans="1:6" x14ac:dyDescent="0.25">
      <c r="A169" s="1">
        <v>37530</v>
      </c>
      <c r="B169" s="3">
        <v>407101</v>
      </c>
      <c r="C169" s="3">
        <f t="shared" si="6"/>
        <v>401146.1875</v>
      </c>
      <c r="D169" s="3">
        <f>I$2+J$2*B161+K$2*B160+L$2*B159+M$2*B158</f>
        <v>404504.56512812496</v>
      </c>
      <c r="E169" s="4">
        <f t="shared" si="7"/>
        <v>1.4844494814000964E-2</v>
      </c>
      <c r="F169" s="4">
        <f t="shared" si="8"/>
        <v>6.4188023960931595E-3</v>
      </c>
    </row>
    <row r="170" spans="1:6" x14ac:dyDescent="0.25">
      <c r="A170" s="1">
        <v>37622</v>
      </c>
      <c r="B170" s="3">
        <v>409366</v>
      </c>
      <c r="C170" s="3">
        <f t="shared" si="6"/>
        <v>404359.82500000001</v>
      </c>
      <c r="D170" s="3">
        <f>I$2+J$2*B162+K$2*B161+L$2*B160+M$2*B159</f>
        <v>407530.38584562496</v>
      </c>
      <c r="E170" s="4">
        <f t="shared" si="7"/>
        <v>1.2380495515349477E-2</v>
      </c>
      <c r="F170" s="4">
        <f t="shared" si="8"/>
        <v>4.5042387466793787E-3</v>
      </c>
    </row>
    <row r="171" spans="1:6" x14ac:dyDescent="0.25">
      <c r="A171" s="1">
        <v>37712</v>
      </c>
      <c r="B171" s="3">
        <v>408772.3125</v>
      </c>
      <c r="C171" s="3">
        <f t="shared" si="6"/>
        <v>406304.58750000002</v>
      </c>
      <c r="D171" s="3">
        <f>I$2+J$2*B163+K$2*B162+L$2*B161+M$2*B160</f>
        <v>409495.71726999996</v>
      </c>
      <c r="E171" s="4">
        <f t="shared" si="7"/>
        <v>6.0735838972036937E-3</v>
      </c>
      <c r="F171" s="4">
        <f t="shared" si="8"/>
        <v>-1.7665746905064506E-3</v>
      </c>
    </row>
    <row r="172" spans="1:6" x14ac:dyDescent="0.25">
      <c r="A172" s="1">
        <v>37803</v>
      </c>
      <c r="B172" s="3">
        <v>410300.5</v>
      </c>
      <c r="C172" s="3">
        <f t="shared" si="6"/>
        <v>408083.42499999999</v>
      </c>
      <c r="D172" s="3">
        <f>I$2+J$2*B164+K$2*B163+L$2*B162+M$2*B161</f>
        <v>409939.28396999999</v>
      </c>
      <c r="E172" s="4">
        <f t="shared" si="7"/>
        <v>5.4328964720877782E-3</v>
      </c>
      <c r="F172" s="4">
        <f t="shared" si="8"/>
        <v>8.811451942392079E-4</v>
      </c>
    </row>
    <row r="173" spans="1:6" x14ac:dyDescent="0.25">
      <c r="A173" s="1">
        <v>37895</v>
      </c>
      <c r="B173" s="3">
        <v>413121</v>
      </c>
      <c r="C173" s="3">
        <f t="shared" si="6"/>
        <v>409732.16249999998</v>
      </c>
      <c r="D173" s="3">
        <f>I$2+J$2*B165+K$2*B164+L$2*B163+M$2*B162</f>
        <v>411982.86613312503</v>
      </c>
      <c r="E173" s="4">
        <f t="shared" si="7"/>
        <v>8.2708603574659367E-3</v>
      </c>
      <c r="F173" s="4">
        <f t="shared" si="8"/>
        <v>2.7625757293197051E-3</v>
      </c>
    </row>
    <row r="174" spans="1:6" x14ac:dyDescent="0.25">
      <c r="A174" s="1">
        <v>37987</v>
      </c>
      <c r="B174" s="3">
        <v>416125</v>
      </c>
      <c r="C174" s="3">
        <f t="shared" si="6"/>
        <v>411536.96250000002</v>
      </c>
      <c r="D174" s="3">
        <f>I$2+J$2*B166+K$2*B165+L$2*B164+M$2*B163</f>
        <v>415545.35586312495</v>
      </c>
      <c r="E174" s="4">
        <f t="shared" si="7"/>
        <v>1.1148542945276674E-2</v>
      </c>
      <c r="F174" s="4">
        <f t="shared" si="8"/>
        <v>1.3948998074375663E-3</v>
      </c>
    </row>
    <row r="175" spans="1:6" x14ac:dyDescent="0.25">
      <c r="A175" s="1">
        <v>38078</v>
      </c>
      <c r="B175" s="3">
        <v>421055.5</v>
      </c>
      <c r="C175" s="3">
        <f t="shared" si="6"/>
        <v>413874.86249999999</v>
      </c>
      <c r="D175" s="3">
        <f>I$2+J$2*B167+K$2*B166+L$2*B165+M$2*B164</f>
        <v>417406.41497124999</v>
      </c>
      <c r="E175" s="4">
        <f t="shared" si="7"/>
        <v>1.7349779246377928E-2</v>
      </c>
      <c r="F175" s="4">
        <f t="shared" si="8"/>
        <v>8.7422830552361663E-3</v>
      </c>
    </row>
    <row r="176" spans="1:6" x14ac:dyDescent="0.25">
      <c r="A176" s="1">
        <v>38169</v>
      </c>
      <c r="B176" s="3">
        <v>426033.8125</v>
      </c>
      <c r="C176" s="3">
        <f t="shared" si="6"/>
        <v>417327.16249999998</v>
      </c>
      <c r="D176" s="3">
        <f>I$2+J$2*B168+K$2*B167+L$2*B166+M$2*B165</f>
        <v>420915.16853687499</v>
      </c>
      <c r="E176" s="4">
        <f t="shared" si="7"/>
        <v>2.0862888358003762E-2</v>
      </c>
      <c r="F176" s="4">
        <f t="shared" si="8"/>
        <v>1.2160749589799069E-2</v>
      </c>
    </row>
    <row r="177" spans="1:6" x14ac:dyDescent="0.25">
      <c r="A177" s="1">
        <v>38261</v>
      </c>
      <c r="B177" s="3">
        <v>429108.5</v>
      </c>
      <c r="C177" s="3">
        <f t="shared" si="6"/>
        <v>421088.76250000001</v>
      </c>
      <c r="D177" s="3">
        <f>I$2+J$2*B169+K$2*B168+L$2*B167+M$2*B166</f>
        <v>424224.00614625</v>
      </c>
      <c r="E177" s="4">
        <f t="shared" si="7"/>
        <v>1.9045242272405671E-2</v>
      </c>
      <c r="F177" s="4">
        <f t="shared" si="8"/>
        <v>1.1513949665701073E-2</v>
      </c>
    </row>
    <row r="178" spans="1:6" x14ac:dyDescent="0.25">
      <c r="A178" s="1">
        <v>38353</v>
      </c>
      <c r="B178" s="3">
        <v>430611.3125</v>
      </c>
      <c r="C178" s="3">
        <f t="shared" si="6"/>
        <v>424586.82500000001</v>
      </c>
      <c r="D178" s="3">
        <f>I$2+J$2*B170+K$2*B169+L$2*B168+M$2*B167</f>
        <v>426732.68450874998</v>
      </c>
      <c r="E178" s="4">
        <f t="shared" si="7"/>
        <v>1.4189058975157653E-2</v>
      </c>
      <c r="F178" s="4">
        <f t="shared" si="8"/>
        <v>9.0891279999212315E-3</v>
      </c>
    </row>
    <row r="179" spans="1:6" x14ac:dyDescent="0.25">
      <c r="A179" s="1">
        <v>38443</v>
      </c>
      <c r="B179" s="3">
        <v>433723.5</v>
      </c>
      <c r="C179" s="3">
        <f t="shared" si="6"/>
        <v>428106.52500000002</v>
      </c>
      <c r="D179" s="3">
        <f>I$2+J$2*B171+K$2*B170+L$2*B169+M$2*B168</f>
        <v>427797.21145374997</v>
      </c>
      <c r="E179" s="4">
        <f t="shared" si="7"/>
        <v>1.3120507798847436E-2</v>
      </c>
      <c r="F179" s="4">
        <f t="shared" si="8"/>
        <v>1.3853032202129523E-2</v>
      </c>
    </row>
    <row r="180" spans="1:6" x14ac:dyDescent="0.25">
      <c r="A180" s="1">
        <v>38534</v>
      </c>
      <c r="B180" s="3">
        <v>438979.8125</v>
      </c>
      <c r="C180" s="3">
        <f t="shared" si="6"/>
        <v>431691.38750000001</v>
      </c>
      <c r="D180" s="3">
        <f>I$2+J$2*B172+K$2*B171+L$2*B170+M$2*B169</f>
        <v>429541.57490812498</v>
      </c>
      <c r="E180" s="4">
        <f t="shared" si="7"/>
        <v>1.6883415354215225E-2</v>
      </c>
      <c r="F180" s="4">
        <f t="shared" si="8"/>
        <v>2.1972815073590501E-2</v>
      </c>
    </row>
    <row r="181" spans="1:6" x14ac:dyDescent="0.25">
      <c r="A181" s="1">
        <v>38626</v>
      </c>
      <c r="B181" s="3">
        <v>443339.5</v>
      </c>
      <c r="C181" s="3">
        <f t="shared" si="6"/>
        <v>435152.52500000002</v>
      </c>
      <c r="D181" s="3">
        <f>I$2+J$2*B173+K$2*B172+L$2*B171+M$2*B170</f>
        <v>431692.92846312502</v>
      </c>
      <c r="E181" s="4">
        <f t="shared" si="7"/>
        <v>1.8814035377595406E-2</v>
      </c>
      <c r="F181" s="4">
        <f t="shared" si="8"/>
        <v>2.6978833260804302E-2</v>
      </c>
    </row>
    <row r="182" spans="1:6" x14ac:dyDescent="0.25">
      <c r="A182" s="1">
        <v>38718</v>
      </c>
      <c r="B182" s="3">
        <v>446939</v>
      </c>
      <c r="C182" s="3">
        <f t="shared" si="6"/>
        <v>438718.625</v>
      </c>
      <c r="D182" s="3">
        <f>I$2+J$2*B174+K$2*B173+L$2*B172+M$2*B171</f>
        <v>433548.12770562497</v>
      </c>
      <c r="E182" s="4">
        <f t="shared" si="7"/>
        <v>1.8737237335205492E-2</v>
      </c>
      <c r="F182" s="4">
        <f t="shared" si="8"/>
        <v>3.0886703087015244E-2</v>
      </c>
    </row>
    <row r="183" spans="1:6" x14ac:dyDescent="0.25">
      <c r="A183" s="1">
        <v>38808</v>
      </c>
      <c r="B183" s="3">
        <v>447162.5</v>
      </c>
      <c r="C183" s="3">
        <f t="shared" si="6"/>
        <v>442028.86249999999</v>
      </c>
      <c r="D183" s="3">
        <f>I$2+J$2*B175+K$2*B174+L$2*B173+M$2*B172</f>
        <v>437234.88417999999</v>
      </c>
      <c r="E183" s="4">
        <f t="shared" si="7"/>
        <v>1.1613806100727153E-2</v>
      </c>
      <c r="F183" s="4">
        <f t="shared" si="8"/>
        <v>2.2705452330544107E-2</v>
      </c>
    </row>
    <row r="184" spans="1:6" x14ac:dyDescent="0.25">
      <c r="A184" s="1">
        <v>38899</v>
      </c>
      <c r="B184" s="3">
        <v>448421.3125</v>
      </c>
      <c r="C184" s="3">
        <f t="shared" si="6"/>
        <v>444968.42499999999</v>
      </c>
      <c r="D184" s="3">
        <f>I$2+J$2*B176+K$2*B175+L$2*B174+M$2*B173</f>
        <v>441426.358943125</v>
      </c>
      <c r="E184" s="4">
        <f t="shared" si="7"/>
        <v>7.7598483532848039E-3</v>
      </c>
      <c r="F184" s="4">
        <f t="shared" si="8"/>
        <v>1.5846252529238436E-2</v>
      </c>
    </row>
    <row r="185" spans="1:6" x14ac:dyDescent="0.25">
      <c r="A185" s="1">
        <v>38991</v>
      </c>
      <c r="B185" s="3">
        <v>450207</v>
      </c>
      <c r="C185" s="3">
        <f t="shared" si="6"/>
        <v>447213.86249999999</v>
      </c>
      <c r="D185" s="3">
        <f>I$2+J$2*B177+K$2*B176+L$2*B175+M$2*B174</f>
        <v>444912.58101812494</v>
      </c>
      <c r="E185" s="4">
        <f t="shared" si="7"/>
        <v>6.692854920167024E-3</v>
      </c>
      <c r="F185" s="4">
        <f t="shared" si="8"/>
        <v>1.1899908448889995E-2</v>
      </c>
    </row>
    <row r="186" spans="1:6" x14ac:dyDescent="0.25">
      <c r="A186" s="1">
        <v>39083</v>
      </c>
      <c r="B186" s="3">
        <v>453080.3125</v>
      </c>
      <c r="C186" s="3">
        <f t="shared" si="6"/>
        <v>449162.02500000002</v>
      </c>
      <c r="D186" s="3">
        <f>I$2+J$2*B178+K$2*B177+L$2*B176+M$2*B175</f>
        <v>447970.09790625004</v>
      </c>
      <c r="E186" s="4">
        <f t="shared" si="7"/>
        <v>8.7235502600648829E-3</v>
      </c>
      <c r="F186" s="4">
        <f t="shared" si="8"/>
        <v>1.1407490405351606E-2</v>
      </c>
    </row>
    <row r="187" spans="1:6" x14ac:dyDescent="0.25">
      <c r="A187" s="1">
        <v>39173</v>
      </c>
      <c r="B187" s="3">
        <v>457455.8125</v>
      </c>
      <c r="C187" s="3">
        <f t="shared" si="6"/>
        <v>451265.38750000001</v>
      </c>
      <c r="D187" s="3">
        <f>I$2+J$2*B179+K$2*B178+L$2*B177+M$2*B176</f>
        <v>451558.78699875</v>
      </c>
      <c r="E187" s="4">
        <f t="shared" si="7"/>
        <v>1.3717925574338485E-2</v>
      </c>
      <c r="F187" s="4">
        <f t="shared" si="8"/>
        <v>1.3059264200004028E-2</v>
      </c>
    </row>
    <row r="188" spans="1:6" x14ac:dyDescent="0.25">
      <c r="A188" s="1">
        <v>39264</v>
      </c>
      <c r="B188" s="3">
        <v>459169.8125</v>
      </c>
      <c r="C188" s="3">
        <f t="shared" si="6"/>
        <v>453666.85</v>
      </c>
      <c r="D188" s="3">
        <f>I$2+J$2*B180+K$2*B179+L$2*B178+M$2*B177</f>
        <v>455655.36060625</v>
      </c>
      <c r="E188" s="4">
        <f t="shared" si="7"/>
        <v>1.2129963871065241E-2</v>
      </c>
      <c r="F188" s="4">
        <f t="shared" si="8"/>
        <v>7.7129607102044417E-3</v>
      </c>
    </row>
    <row r="189" spans="1:6" x14ac:dyDescent="0.25">
      <c r="A189" s="1">
        <v>39356</v>
      </c>
      <c r="B189" s="3">
        <v>459773.3125</v>
      </c>
      <c r="C189" s="3">
        <f t="shared" si="6"/>
        <v>455937.25</v>
      </c>
      <c r="D189" s="3">
        <f>I$2+J$2*B181+K$2*B180+L$2*B179+M$2*B178</f>
        <v>459182.97302874998</v>
      </c>
      <c r="E189" s="4">
        <f t="shared" si="7"/>
        <v>8.413575552337571E-3</v>
      </c>
      <c r="F189" s="4">
        <f t="shared" si="8"/>
        <v>1.2856301429386985E-3</v>
      </c>
    </row>
    <row r="190" spans="1:6" x14ac:dyDescent="0.25">
      <c r="A190" s="1">
        <v>39448</v>
      </c>
      <c r="B190" s="3">
        <v>460118.3125</v>
      </c>
      <c r="C190" s="3">
        <f t="shared" si="6"/>
        <v>457919.51250000001</v>
      </c>
      <c r="D190" s="3">
        <f>I$2+J$2*B182+K$2*B181+L$2*B180+M$2*B179</f>
        <v>463001.78666312498</v>
      </c>
      <c r="E190" s="4">
        <f t="shared" si="7"/>
        <v>4.8017172013390397E-3</v>
      </c>
      <c r="F190" s="4">
        <f t="shared" si="8"/>
        <v>-6.227781935586707E-3</v>
      </c>
    </row>
    <row r="191" spans="1:6" x14ac:dyDescent="0.25">
      <c r="A191" s="1">
        <v>39539</v>
      </c>
      <c r="B191" s="3">
        <v>461794.8125</v>
      </c>
      <c r="C191" s="3">
        <f t="shared" si="6"/>
        <v>459662.41249999998</v>
      </c>
      <c r="D191" s="3">
        <f>I$2+J$2*B183+K$2*B182+L$2*B181+M$2*B180</f>
        <v>465383.58562562498</v>
      </c>
      <c r="E191" s="4">
        <f t="shared" si="7"/>
        <v>4.6390567120822013E-3</v>
      </c>
      <c r="F191" s="4">
        <f t="shared" si="8"/>
        <v>-7.711430390911822E-3</v>
      </c>
    </row>
    <row r="192" spans="1:6" x14ac:dyDescent="0.25">
      <c r="A192" s="1">
        <v>39630</v>
      </c>
      <c r="B192" s="3">
        <v>465589.5</v>
      </c>
      <c r="C192" s="3">
        <f t="shared" si="6"/>
        <v>461289.15</v>
      </c>
      <c r="D192" s="3">
        <f>I$2+J$2*B184+K$2*B183+L$2*B182+M$2*B181</f>
        <v>467800.57491312496</v>
      </c>
      <c r="E192" s="4">
        <f t="shared" si="7"/>
        <v>9.3224607602411247E-3</v>
      </c>
      <c r="F192" s="4">
        <f t="shared" si="8"/>
        <v>-4.7265331247948739E-3</v>
      </c>
    </row>
    <row r="193" spans="1:6" x14ac:dyDescent="0.25">
      <c r="A193" s="1">
        <v>39722</v>
      </c>
      <c r="B193" s="3">
        <v>460187.3125</v>
      </c>
      <c r="C193" s="3">
        <f t="shared" si="6"/>
        <v>461492.65</v>
      </c>
      <c r="D193" s="3">
        <f>I$2+J$2*B185+K$2*B184+L$2*B183+M$2*B182</f>
        <v>469854.84844812501</v>
      </c>
      <c r="E193" s="4">
        <f t="shared" si="7"/>
        <v>-2.8285120033872957E-3</v>
      </c>
      <c r="F193" s="4">
        <f t="shared" si="8"/>
        <v>-2.0575579841424885E-2</v>
      </c>
    </row>
    <row r="194" spans="1:6" x14ac:dyDescent="0.25">
      <c r="A194" s="1">
        <v>39814</v>
      </c>
      <c r="B194" s="3">
        <v>449802.8125</v>
      </c>
      <c r="C194" s="3">
        <f t="shared" si="6"/>
        <v>459498.55</v>
      </c>
      <c r="D194" s="3">
        <f>I$2+J$2*B186+K$2*B185+L$2*B184+M$2*B183</f>
        <v>471767.04996624996</v>
      </c>
      <c r="E194" s="4">
        <f t="shared" si="7"/>
        <v>-2.1100692265514143E-2</v>
      </c>
      <c r="F194" s="4">
        <f t="shared" si="8"/>
        <v>-4.6557379257032183E-2</v>
      </c>
    </row>
    <row r="195" spans="1:6" x14ac:dyDescent="0.25">
      <c r="A195" s="1">
        <v>39904</v>
      </c>
      <c r="B195" s="3">
        <v>444950.8125</v>
      </c>
      <c r="C195" s="3">
        <f t="shared" si="6"/>
        <v>456465.05</v>
      </c>
      <c r="D195" s="3">
        <f>I$2+J$2*B187+K$2*B186+L$2*B185+M$2*B184</f>
        <v>474917.25154187507</v>
      </c>
      <c r="E195" s="4">
        <f t="shared" si="7"/>
        <v>-2.5224795414238166E-2</v>
      </c>
      <c r="F195" s="4">
        <f t="shared" si="8"/>
        <v>-6.3098232259589437E-2</v>
      </c>
    </row>
    <row r="196" spans="1:6" x14ac:dyDescent="0.25">
      <c r="A196" s="1">
        <v>39995</v>
      </c>
      <c r="B196" s="3">
        <v>446940.8125</v>
      </c>
      <c r="C196" s="3">
        <f t="shared" si="6"/>
        <v>453494.25</v>
      </c>
      <c r="D196" s="3">
        <f>I$2+J$2*B188+K$2*B187+L$2*B186+M$2*B185</f>
        <v>476992.51085437502</v>
      </c>
      <c r="E196" s="4">
        <f t="shared" si="7"/>
        <v>-1.4450982564828574E-2</v>
      </c>
      <c r="F196" s="4">
        <f t="shared" si="8"/>
        <v>-6.3002453226251531E-2</v>
      </c>
    </row>
    <row r="197" spans="1:6" x14ac:dyDescent="0.25">
      <c r="A197" s="1">
        <v>40087</v>
      </c>
      <c r="B197" s="3">
        <v>452133.8125</v>
      </c>
      <c r="C197" s="3">
        <f t="shared" si="6"/>
        <v>450803.11249999999</v>
      </c>
      <c r="D197" s="3">
        <f>I$2+J$2*B189+K$2*B188+L$2*B187+M$2*B186</f>
        <v>478838.85641499999</v>
      </c>
      <c r="E197" s="4">
        <f t="shared" si="7"/>
        <v>2.9518429733557117E-3</v>
      </c>
      <c r="F197" s="4">
        <f t="shared" si="8"/>
        <v>-5.5770419541423477E-2</v>
      </c>
    </row>
    <row r="198" spans="1:6" x14ac:dyDescent="0.25">
      <c r="A198" s="1">
        <v>40179</v>
      </c>
      <c r="B198" s="3">
        <v>457611.5</v>
      </c>
      <c r="C198" s="3">
        <f t="shared" si="6"/>
        <v>450287.95</v>
      </c>
      <c r="D198" s="3">
        <f>I$2+J$2*B190+K$2*B189+L$2*B188+M$2*B187</f>
        <v>480501.39529500005</v>
      </c>
      <c r="E198" s="4">
        <f t="shared" si="7"/>
        <v>1.6264148307766124E-2</v>
      </c>
      <c r="F198" s="4">
        <f t="shared" si="8"/>
        <v>-4.7637520971082647E-2</v>
      </c>
    </row>
    <row r="199" spans="1:6" x14ac:dyDescent="0.25">
      <c r="A199" s="1">
        <v>40269</v>
      </c>
      <c r="B199" s="3">
        <v>460007.8125</v>
      </c>
      <c r="C199" s="3">
        <f t="shared" ref="C199:C256" si="9">AVERAGE(B195:B199)</f>
        <v>452328.95</v>
      </c>
      <c r="D199" s="3">
        <f>I$2+J$2*B191+K$2*B190+L$2*B189+M$2*B188</f>
        <v>481991.96952499996</v>
      </c>
      <c r="E199" s="4">
        <f t="shared" si="7"/>
        <v>1.6976279099535807E-2</v>
      </c>
      <c r="F199" s="4">
        <f t="shared" si="8"/>
        <v>-4.5611044197821804E-2</v>
      </c>
    </row>
    <row r="200" spans="1:6" x14ac:dyDescent="0.25">
      <c r="A200" s="1">
        <v>40360</v>
      </c>
      <c r="B200" s="3">
        <v>463228</v>
      </c>
      <c r="C200" s="3">
        <f t="shared" si="9"/>
        <v>455984.38750000001</v>
      </c>
      <c r="D200" s="3">
        <f>I$2+J$2*B192+K$2*B191+L$2*B190+M$2*B189</f>
        <v>484371.22517187498</v>
      </c>
      <c r="E200" s="4">
        <f t="shared" si="7"/>
        <v>1.5885659023797238E-2</v>
      </c>
      <c r="F200" s="4">
        <f t="shared" si="8"/>
        <v>-4.3650869566771777E-2</v>
      </c>
    </row>
    <row r="201" spans="1:6" x14ac:dyDescent="0.25">
      <c r="A201" s="1">
        <v>40452</v>
      </c>
      <c r="B201" s="3">
        <v>468424.5</v>
      </c>
      <c r="C201" s="3">
        <f t="shared" si="9"/>
        <v>460281.125</v>
      </c>
      <c r="D201" s="3">
        <f>I$2+J$2*B193+K$2*B192+L$2*B191+M$2*B190</f>
        <v>481952.83411187498</v>
      </c>
      <c r="E201" s="4">
        <f t="shared" si="7"/>
        <v>1.7692176710483176E-2</v>
      </c>
      <c r="F201" s="4">
        <f t="shared" si="8"/>
        <v>-2.8069829979949223E-2</v>
      </c>
    </row>
    <row r="202" spans="1:6" x14ac:dyDescent="0.25">
      <c r="A202" s="1">
        <v>40544</v>
      </c>
      <c r="B202" s="3">
        <v>471992</v>
      </c>
      <c r="C202" s="3">
        <f t="shared" si="9"/>
        <v>464252.76250000001</v>
      </c>
      <c r="D202" s="3">
        <f>I$2+J$2*B194+K$2*B193+L$2*B192+M$2*B191</f>
        <v>477003.52586187498</v>
      </c>
      <c r="E202" s="4">
        <f t="shared" si="7"/>
        <v>1.6670310066275507E-2</v>
      </c>
      <c r="F202" s="4">
        <f t="shared" si="8"/>
        <v>-1.0506265866315978E-2</v>
      </c>
    </row>
    <row r="203" spans="1:6" x14ac:dyDescent="0.25">
      <c r="A203" s="1">
        <v>40634</v>
      </c>
      <c r="B203" s="3">
        <v>472848.8125</v>
      </c>
      <c r="C203" s="3">
        <f t="shared" si="9"/>
        <v>467300.22499999998</v>
      </c>
      <c r="D203" s="3">
        <f>I$2+J$2*B195+K$2*B194+L$2*B193+M$2*B192</f>
        <v>474041.60588937497</v>
      </c>
      <c r="E203" s="4">
        <f t="shared" si="7"/>
        <v>1.1873710311181673E-2</v>
      </c>
      <c r="F203" s="4">
        <f t="shared" si="8"/>
        <v>-2.5162208855847856E-3</v>
      </c>
    </row>
    <row r="204" spans="1:6" x14ac:dyDescent="0.25">
      <c r="A204" s="1">
        <v>40725</v>
      </c>
      <c r="B204" s="3">
        <v>479318.5</v>
      </c>
      <c r="C204" s="3">
        <f t="shared" si="9"/>
        <v>471162.36249999999</v>
      </c>
      <c r="D204" s="3">
        <f>I$2+J$2*B196+K$2*B195+L$2*B194+M$2*B193</f>
        <v>471877.29504</v>
      </c>
      <c r="E204" s="4">
        <f t="shared" si="7"/>
        <v>1.7310672815042727E-2</v>
      </c>
      <c r="F204" s="4">
        <f t="shared" si="8"/>
        <v>1.576936427799347E-2</v>
      </c>
    </row>
    <row r="205" spans="1:6" x14ac:dyDescent="0.25">
      <c r="A205" s="1">
        <v>40817</v>
      </c>
      <c r="B205" s="3">
        <v>483127.8125</v>
      </c>
      <c r="C205" s="3">
        <f t="shared" si="9"/>
        <v>475142.32500000001</v>
      </c>
      <c r="D205" s="3">
        <f>I$2+J$2*B197+K$2*B196+L$2*B195+M$2*B194</f>
        <v>471284.47268499993</v>
      </c>
      <c r="E205" s="4">
        <f t="shared" si="7"/>
        <v>1.6806516868393073E-2</v>
      </c>
      <c r="F205" s="4">
        <f t="shared" si="8"/>
        <v>2.5129917282286529E-2</v>
      </c>
    </row>
    <row r="206" spans="1:6" x14ac:dyDescent="0.25">
      <c r="A206" s="1">
        <v>40909</v>
      </c>
      <c r="B206" s="3">
        <v>483432.8125</v>
      </c>
      <c r="C206" s="3">
        <f t="shared" si="9"/>
        <v>478143.98749999999</v>
      </c>
      <c r="D206" s="3">
        <f>I$2+J$2*B198+K$2*B197+L$2*B196+M$2*B195</f>
        <v>473527.80420187506</v>
      </c>
      <c r="E206" s="4">
        <f t="shared" ref="E206:E256" si="10">B206/C206-1</f>
        <v>1.1061155506007614E-2</v>
      </c>
      <c r="F206" s="4">
        <f t="shared" ref="F206:F256" si="11">B206/D206-1</f>
        <v>2.0917479840111497E-2</v>
      </c>
    </row>
    <row r="207" spans="1:6" x14ac:dyDescent="0.25">
      <c r="A207" s="1">
        <v>41000</v>
      </c>
      <c r="B207" s="3">
        <v>485004.3125</v>
      </c>
      <c r="C207" s="3">
        <f t="shared" si="9"/>
        <v>480746.45</v>
      </c>
      <c r="D207" s="3">
        <f>I$2+J$2*B199+K$2*B198+L$2*B197+M$2*B196</f>
        <v>476431.80893187504</v>
      </c>
      <c r="E207" s="4">
        <f t="shared" si="10"/>
        <v>8.856773669363438E-3</v>
      </c>
      <c r="F207" s="4">
        <f t="shared" si="11"/>
        <v>1.7993138592790281E-2</v>
      </c>
    </row>
    <row r="208" spans="1:6" x14ac:dyDescent="0.25">
      <c r="A208" s="1">
        <v>41091</v>
      </c>
      <c r="B208" s="3">
        <v>485668</v>
      </c>
      <c r="C208" s="3">
        <f t="shared" si="9"/>
        <v>483310.28749999998</v>
      </c>
      <c r="D208" s="3">
        <f>I$2+J$2*B200+K$2*B199+L$2*B198+M$2*B197</f>
        <v>480539.14595875004</v>
      </c>
      <c r="E208" s="4">
        <f t="shared" si="10"/>
        <v>4.8782584624789127E-3</v>
      </c>
      <c r="F208" s="4">
        <f t="shared" si="11"/>
        <v>1.0673124311271431E-2</v>
      </c>
    </row>
    <row r="209" spans="1:6" x14ac:dyDescent="0.25">
      <c r="A209" s="1">
        <v>41183</v>
      </c>
      <c r="B209" s="3">
        <v>486667.5</v>
      </c>
      <c r="C209" s="3">
        <f t="shared" si="9"/>
        <v>484780.08750000002</v>
      </c>
      <c r="D209" s="3">
        <f>I$2+J$2*B201+K$2*B200+L$2*B199+M$2*B198</f>
        <v>485393.64604312496</v>
      </c>
      <c r="E209" s="4">
        <f t="shared" si="10"/>
        <v>3.8933375125478342E-3</v>
      </c>
      <c r="F209" s="4">
        <f t="shared" si="11"/>
        <v>2.6243729543213856E-3</v>
      </c>
    </row>
    <row r="210" spans="1:6" x14ac:dyDescent="0.25">
      <c r="A210" s="1">
        <v>41275</v>
      </c>
      <c r="B210" s="3">
        <v>491023.8125</v>
      </c>
      <c r="C210" s="3">
        <f t="shared" si="9"/>
        <v>486359.28749999998</v>
      </c>
      <c r="D210" s="3">
        <f>I$2+J$2*B202+K$2*B201+L$2*B200+M$2*B199</f>
        <v>488743.33206062496</v>
      </c>
      <c r="E210" s="4">
        <f t="shared" si="10"/>
        <v>9.5906979056095132E-3</v>
      </c>
      <c r="F210" s="4">
        <f t="shared" si="11"/>
        <v>4.6660082906095912E-3</v>
      </c>
    </row>
    <row r="211" spans="1:6" x14ac:dyDescent="0.25">
      <c r="A211" s="1">
        <v>41365</v>
      </c>
      <c r="B211" s="3">
        <v>493851.5</v>
      </c>
      <c r="C211" s="3">
        <f t="shared" si="9"/>
        <v>488443.02500000002</v>
      </c>
      <c r="D211" s="3">
        <f>I$2+J$2*B203+K$2*B202+L$2*B201+M$2*B200</f>
        <v>491040.20572312502</v>
      </c>
      <c r="E211" s="4">
        <f t="shared" si="10"/>
        <v>1.1072888183836671E-2</v>
      </c>
      <c r="F211" s="4">
        <f t="shared" si="11"/>
        <v>5.725181449724559E-3</v>
      </c>
    </row>
    <row r="212" spans="1:6" x14ac:dyDescent="0.25">
      <c r="A212" s="1">
        <v>41456</v>
      </c>
      <c r="B212" s="3">
        <v>497912.5</v>
      </c>
      <c r="C212" s="3">
        <f t="shared" si="9"/>
        <v>491024.66249999998</v>
      </c>
      <c r="D212" s="3">
        <f>I$2+J$2*B204+K$2*B203+L$2*B202+M$2*B201</f>
        <v>496565.14072812494</v>
      </c>
      <c r="E212" s="4">
        <f t="shared" si="10"/>
        <v>1.4027477693139279E-2</v>
      </c>
      <c r="F212" s="4">
        <f t="shared" si="11"/>
        <v>2.7133585533196669E-3</v>
      </c>
    </row>
    <row r="213" spans="1:6" x14ac:dyDescent="0.25">
      <c r="A213" s="1">
        <v>41548</v>
      </c>
      <c r="B213" s="3">
        <v>503123.5</v>
      </c>
      <c r="C213" s="3">
        <f t="shared" si="9"/>
        <v>494515.76250000001</v>
      </c>
      <c r="D213" s="3">
        <f>I$2+J$2*B205+K$2*B204+L$2*B203+M$2*B202</f>
        <v>500082.88882624998</v>
      </c>
      <c r="E213" s="4">
        <f t="shared" si="10"/>
        <v>1.7406396626234999E-2</v>
      </c>
      <c r="F213" s="4">
        <f t="shared" si="11"/>
        <v>6.0802143838327716E-3</v>
      </c>
    </row>
    <row r="214" spans="1:6" x14ac:dyDescent="0.25">
      <c r="A214" s="1">
        <v>41640</v>
      </c>
      <c r="B214" s="3">
        <v>503973.8125</v>
      </c>
      <c r="C214" s="3">
        <f t="shared" si="9"/>
        <v>497977.02500000002</v>
      </c>
      <c r="D214" s="3">
        <f>I$2+J$2*B206+K$2*B205+L$2*B204+M$2*B203</f>
        <v>501635.83979687502</v>
      </c>
      <c r="E214" s="4">
        <f t="shared" si="10"/>
        <v>1.2042297533706448E-2</v>
      </c>
      <c r="F214" s="4">
        <f t="shared" si="11"/>
        <v>4.6606970986595719E-3</v>
      </c>
    </row>
    <row r="215" spans="1:6" x14ac:dyDescent="0.25">
      <c r="A215" s="1">
        <v>41730</v>
      </c>
      <c r="B215" s="3">
        <v>508567.8125</v>
      </c>
      <c r="C215" s="3">
        <f t="shared" si="9"/>
        <v>501485.82500000001</v>
      </c>
      <c r="D215" s="3">
        <f>I$2+J$2*B207+K$2*B206+L$2*B205+M$2*B204</f>
        <v>504832.71317937499</v>
      </c>
      <c r="E215" s="4">
        <f t="shared" si="10"/>
        <v>1.4122009330971519E-2</v>
      </c>
      <c r="F215" s="4">
        <f t="shared" si="11"/>
        <v>7.3986871752065309E-3</v>
      </c>
    </row>
    <row r="216" spans="1:6" x14ac:dyDescent="0.25">
      <c r="A216" s="1">
        <v>41821</v>
      </c>
      <c r="B216" s="3">
        <v>513442.8125</v>
      </c>
      <c r="C216" s="3">
        <f t="shared" si="9"/>
        <v>505404.08750000002</v>
      </c>
      <c r="D216" s="3">
        <f>I$2+J$2*B208+K$2*B207+L$2*B206+M$2*B205</f>
        <v>506358.15980187501</v>
      </c>
      <c r="E216" s="4">
        <f t="shared" si="10"/>
        <v>1.5905540138711149E-2</v>
      </c>
      <c r="F216" s="4">
        <f t="shared" si="11"/>
        <v>1.3991386454396348E-2</v>
      </c>
    </row>
    <row r="217" spans="1:6" x14ac:dyDescent="0.25">
      <c r="A217" s="1">
        <v>41913</v>
      </c>
      <c r="B217" s="3">
        <v>516991.5</v>
      </c>
      <c r="C217" s="3">
        <f t="shared" si="9"/>
        <v>509219.88750000001</v>
      </c>
      <c r="D217" s="3">
        <f>I$2+J$2*B209+K$2*B208+L$2*B207+M$2*B206</f>
        <v>507254.64566875005</v>
      </c>
      <c r="E217" s="4">
        <f t="shared" si="10"/>
        <v>1.526180082666162E-2</v>
      </c>
      <c r="F217" s="4">
        <f t="shared" si="11"/>
        <v>1.919519991465668E-2</v>
      </c>
    </row>
    <row r="218" spans="1:6" x14ac:dyDescent="0.25">
      <c r="A218" s="1">
        <v>42005</v>
      </c>
      <c r="B218" s="3">
        <v>514113</v>
      </c>
      <c r="C218" s="3">
        <f t="shared" si="9"/>
        <v>511417.78749999998</v>
      </c>
      <c r="D218" s="3">
        <f>I$2+J$2*B210+K$2*B209+L$2*B208+M$2*B207</f>
        <v>510216.26076375006</v>
      </c>
      <c r="E218" s="4">
        <f t="shared" si="10"/>
        <v>5.2700796997602328E-3</v>
      </c>
      <c r="F218" s="4">
        <f t="shared" si="11"/>
        <v>7.6374265892993343E-3</v>
      </c>
    </row>
    <row r="219" spans="1:6" x14ac:dyDescent="0.25">
      <c r="A219" s="1">
        <v>42095</v>
      </c>
      <c r="B219" s="3">
        <v>512709.5</v>
      </c>
      <c r="C219" s="3">
        <f t="shared" si="9"/>
        <v>513164.92499999999</v>
      </c>
      <c r="D219" s="3">
        <f>I$2+J$2*B211+K$2*B210+L$2*B209+M$2*B208</f>
        <v>512318.55697812501</v>
      </c>
      <c r="E219" s="4">
        <f t="shared" si="10"/>
        <v>-8.8748271328165096E-4</v>
      </c>
      <c r="F219" s="4">
        <f t="shared" si="11"/>
        <v>7.6308581164985512E-4</v>
      </c>
    </row>
    <row r="220" spans="1:6" x14ac:dyDescent="0.25">
      <c r="A220" s="1">
        <v>42186</v>
      </c>
      <c r="B220" s="3">
        <v>514545.5</v>
      </c>
      <c r="C220" s="3">
        <f t="shared" si="9"/>
        <v>514360.46250000002</v>
      </c>
      <c r="D220" s="3">
        <f>I$2+J$2*B212+K$2*B211+L$2*B210+M$2*B209</f>
        <v>515603.20395812497</v>
      </c>
      <c r="E220" s="4">
        <f t="shared" si="10"/>
        <v>3.5974285251372251E-4</v>
      </c>
      <c r="F220" s="4">
        <f t="shared" si="11"/>
        <v>-2.0513913606534651E-3</v>
      </c>
    </row>
    <row r="221" spans="1:6" x14ac:dyDescent="0.25">
      <c r="A221" s="1">
        <v>42278</v>
      </c>
      <c r="B221" s="3">
        <v>514886.5</v>
      </c>
      <c r="C221" s="3">
        <f t="shared" si="9"/>
        <v>514649.2</v>
      </c>
      <c r="D221" s="3">
        <f>I$2+J$2*B213+K$2*B212+L$2*B211+M$2*B210</f>
        <v>520268.24589062494</v>
      </c>
      <c r="E221" s="4">
        <f t="shared" si="10"/>
        <v>4.6109077795120079E-4</v>
      </c>
      <c r="F221" s="4">
        <f t="shared" si="11"/>
        <v>-1.0344175207949058E-2</v>
      </c>
    </row>
    <row r="222" spans="1:6" x14ac:dyDescent="0.25">
      <c r="A222" s="1">
        <v>42370</v>
      </c>
      <c r="B222" s="3">
        <v>517933</v>
      </c>
      <c r="C222" s="3">
        <f t="shared" si="9"/>
        <v>514837.5</v>
      </c>
      <c r="D222" s="3">
        <f>I$2+J$2*B214+K$2*B213+L$2*B212+M$2*B211</f>
        <v>522372.74350312504</v>
      </c>
      <c r="E222" s="4">
        <f t="shared" si="10"/>
        <v>6.0125767839367406E-3</v>
      </c>
      <c r="F222" s="4">
        <f t="shared" si="11"/>
        <v>-8.4991867557088208E-3</v>
      </c>
    </row>
    <row r="223" spans="1:6" x14ac:dyDescent="0.25">
      <c r="A223" s="1">
        <v>42461</v>
      </c>
      <c r="B223" s="3">
        <v>515353</v>
      </c>
      <c r="C223" s="3">
        <f t="shared" si="9"/>
        <v>515085.5</v>
      </c>
      <c r="D223" s="3">
        <f>I$2+J$2*B215+K$2*B214+L$2*B213+M$2*B212</f>
        <v>526804.60215625004</v>
      </c>
      <c r="E223" s="4">
        <f t="shared" si="10"/>
        <v>5.1933125665537538E-4</v>
      </c>
      <c r="F223" s="4">
        <f t="shared" si="11"/>
        <v>-2.1737855192186628E-2</v>
      </c>
    </row>
    <row r="224" spans="1:6" x14ac:dyDescent="0.25">
      <c r="A224" s="1">
        <v>42552</v>
      </c>
      <c r="B224" s="3">
        <v>520701.3125</v>
      </c>
      <c r="C224" s="3">
        <f t="shared" si="9"/>
        <v>516683.86249999999</v>
      </c>
      <c r="D224" s="3">
        <f>I$2+J$2*B216+K$2*B215+L$2*B214+M$2*B213</f>
        <v>531253.88138437504</v>
      </c>
      <c r="E224" s="4">
        <f t="shared" si="10"/>
        <v>7.7754508928562505E-3</v>
      </c>
      <c r="F224" s="4">
        <f t="shared" si="11"/>
        <v>-1.9863513950950318E-2</v>
      </c>
    </row>
    <row r="225" spans="1:6" x14ac:dyDescent="0.25">
      <c r="A225" s="1">
        <v>42644</v>
      </c>
      <c r="B225" s="3">
        <v>523622.5</v>
      </c>
      <c r="C225" s="3">
        <f t="shared" si="9"/>
        <v>518499.26250000001</v>
      </c>
      <c r="D225" s="3">
        <f>I$2+J$2*B217+K$2*B216+L$2*B215+M$2*B214</f>
        <v>534359.11899187497</v>
      </c>
      <c r="E225" s="4">
        <f t="shared" si="10"/>
        <v>9.8808964072538696E-3</v>
      </c>
      <c r="F225" s="4">
        <f t="shared" si="11"/>
        <v>-2.0092515707658798E-2</v>
      </c>
    </row>
    <row r="226" spans="1:6" x14ac:dyDescent="0.25">
      <c r="A226" s="1">
        <v>42736</v>
      </c>
      <c r="B226" s="3">
        <v>530210.8125</v>
      </c>
      <c r="C226" s="3">
        <f t="shared" si="9"/>
        <v>521564.125</v>
      </c>
      <c r="D226" s="3">
        <f>I$2+J$2*B218+K$2*B217+L$2*B216+M$2*B215</f>
        <v>534936.37557375</v>
      </c>
      <c r="E226" s="4">
        <f t="shared" si="10"/>
        <v>1.6578378545495154E-2</v>
      </c>
      <c r="F226" s="4">
        <f t="shared" si="11"/>
        <v>-8.8338787368527072E-3</v>
      </c>
    </row>
    <row r="227" spans="1:6" x14ac:dyDescent="0.25">
      <c r="A227" s="1">
        <v>42826</v>
      </c>
      <c r="B227" s="3">
        <v>535791.5</v>
      </c>
      <c r="C227" s="3">
        <f t="shared" si="9"/>
        <v>525135.82499999995</v>
      </c>
      <c r="D227" s="3">
        <f>I$2+J$2*B219+K$2*B218+L$2*B217+M$2*B216</f>
        <v>535867.32650562492</v>
      </c>
      <c r="E227" s="4">
        <f t="shared" si="10"/>
        <v>2.0291274167021589E-2</v>
      </c>
      <c r="F227" s="4">
        <f t="shared" si="11"/>
        <v>-1.4150238664367709E-4</v>
      </c>
    </row>
    <row r="228" spans="1:6" x14ac:dyDescent="0.25">
      <c r="A228" s="1">
        <v>42917</v>
      </c>
      <c r="B228" s="3">
        <v>535959.8125</v>
      </c>
      <c r="C228" s="3">
        <f t="shared" si="9"/>
        <v>529257.1875</v>
      </c>
      <c r="D228" s="3">
        <f>I$2+J$2*B220+K$2*B219+L$2*B218+M$2*B217</f>
        <v>537338.97515499988</v>
      </c>
      <c r="E228" s="4">
        <f t="shared" si="10"/>
        <v>1.2664211574830997E-2</v>
      </c>
      <c r="F228" s="4">
        <f t="shared" si="11"/>
        <v>-2.5666529300281127E-3</v>
      </c>
    </row>
    <row r="229" spans="1:6" x14ac:dyDescent="0.25">
      <c r="A229" s="1">
        <v>43009</v>
      </c>
      <c r="B229" s="3">
        <v>538679</v>
      </c>
      <c r="C229" s="3">
        <f t="shared" si="9"/>
        <v>532852.72499999998</v>
      </c>
      <c r="D229" s="3">
        <f>I$2+J$2*B221+K$2*B220+L$2*B219+M$2*B218</f>
        <v>536631.54296500003</v>
      </c>
      <c r="E229" s="4">
        <f t="shared" si="10"/>
        <v>1.0934118803652693E-2</v>
      </c>
      <c r="F229" s="4">
        <f t="shared" si="11"/>
        <v>3.8153870413344393E-3</v>
      </c>
    </row>
    <row r="230" spans="1:6" x14ac:dyDescent="0.25">
      <c r="A230" s="1">
        <v>43101</v>
      </c>
      <c r="B230" s="3">
        <v>544941.3125</v>
      </c>
      <c r="C230" s="3">
        <f t="shared" si="9"/>
        <v>537116.48750000005</v>
      </c>
      <c r="D230" s="3">
        <f>I$2+J$2*B222+K$2*B221+L$2*B220+M$2*B219</f>
        <v>538206.36770499998</v>
      </c>
      <c r="E230" s="4">
        <f t="shared" si="10"/>
        <v>1.4568208539679217E-2</v>
      </c>
      <c r="F230" s="4">
        <f t="shared" si="11"/>
        <v>1.2513684711161766E-2</v>
      </c>
    </row>
    <row r="231" spans="1:6" x14ac:dyDescent="0.25">
      <c r="A231" s="1">
        <v>43191</v>
      </c>
      <c r="B231" s="3">
        <v>549192</v>
      </c>
      <c r="C231" s="3">
        <f t="shared" si="9"/>
        <v>540912.72499999998</v>
      </c>
      <c r="D231" s="3">
        <f>I$2+J$2*B223+K$2*B222+L$2*B221+M$2*B220</f>
        <v>537501.97973999998</v>
      </c>
      <c r="E231" s="4">
        <f t="shared" si="10"/>
        <v>1.5306119855102329E-2</v>
      </c>
      <c r="F231" s="4">
        <f t="shared" si="11"/>
        <v>2.1748794796355275E-2</v>
      </c>
    </row>
    <row r="232" spans="1:6" x14ac:dyDescent="0.25">
      <c r="A232" s="1">
        <v>43282</v>
      </c>
      <c r="B232" s="3">
        <v>551962.3125</v>
      </c>
      <c r="C232" s="3">
        <f t="shared" si="9"/>
        <v>544146.88749999995</v>
      </c>
      <c r="D232" s="3">
        <f>I$2+J$2*B224+K$2*B223+L$2*B222+M$2*B221</f>
        <v>540837.68082812498</v>
      </c>
      <c r="E232" s="4">
        <f t="shared" si="10"/>
        <v>1.4362711943289419E-2</v>
      </c>
      <c r="F232" s="4">
        <f t="shared" si="11"/>
        <v>2.0569261473869727E-2</v>
      </c>
    </row>
    <row r="233" spans="1:6" x14ac:dyDescent="0.25">
      <c r="A233" s="1">
        <v>43374</v>
      </c>
      <c r="B233" s="3">
        <v>553262.5</v>
      </c>
      <c r="C233" s="3">
        <f t="shared" si="9"/>
        <v>547607.42500000005</v>
      </c>
      <c r="D233" s="3">
        <f>I$2+J$2*B225+K$2*B224+L$2*B223+M$2*B222</f>
        <v>543162.05232812499</v>
      </c>
      <c r="E233" s="4">
        <f t="shared" si="10"/>
        <v>1.0326877872410156E-2</v>
      </c>
      <c r="F233" s="4">
        <f t="shared" si="11"/>
        <v>1.8595643102425896E-2</v>
      </c>
    </row>
    <row r="234" spans="1:6" x14ac:dyDescent="0.25">
      <c r="A234" s="1">
        <v>43466</v>
      </c>
      <c r="B234" s="3">
        <v>554594</v>
      </c>
      <c r="C234" s="3">
        <f t="shared" si="9"/>
        <v>550790.42500000005</v>
      </c>
      <c r="D234" s="3">
        <f>I$2+J$2*B226+K$2*B225+L$2*B224+M$2*B223</f>
        <v>547008.42251125001</v>
      </c>
      <c r="E234" s="4">
        <f t="shared" si="10"/>
        <v>6.9056665246132187E-3</v>
      </c>
      <c r="F234" s="4">
        <f t="shared" si="11"/>
        <v>1.3867387002791443E-2</v>
      </c>
    </row>
    <row r="235" spans="1:6" x14ac:dyDescent="0.25">
      <c r="A235" s="1">
        <v>43556</v>
      </c>
      <c r="B235" s="3">
        <v>560665.5</v>
      </c>
      <c r="C235" s="3">
        <f t="shared" si="9"/>
        <v>553935.26249999995</v>
      </c>
      <c r="D235" s="3">
        <f>I$2+J$2*B227+K$2*B226+L$2*B225+M$2*B224</f>
        <v>552290.70286874997</v>
      </c>
      <c r="E235" s="4">
        <f t="shared" si="10"/>
        <v>1.2149862909296205E-2</v>
      </c>
      <c r="F235" s="4">
        <f t="shared" si="11"/>
        <v>1.5163748163329549E-2</v>
      </c>
    </row>
    <row r="236" spans="1:6" x14ac:dyDescent="0.25">
      <c r="A236" s="1">
        <v>43647</v>
      </c>
      <c r="B236" s="3">
        <v>562233.3125</v>
      </c>
      <c r="C236" s="3">
        <f t="shared" si="9"/>
        <v>556543.52500000002</v>
      </c>
      <c r="D236" s="3">
        <f>I$2+J$2*B228+K$2*B227+L$2*B226+M$2*B225</f>
        <v>554439.59242124995</v>
      </c>
      <c r="E236" s="4">
        <f t="shared" si="10"/>
        <v>1.02234367024574E-2</v>
      </c>
      <c r="F236" s="4">
        <f t="shared" si="11"/>
        <v>1.4056932775516007E-2</v>
      </c>
    </row>
    <row r="237" spans="1:6" x14ac:dyDescent="0.25">
      <c r="A237" s="1">
        <v>43739</v>
      </c>
      <c r="B237" s="3">
        <v>563838.5</v>
      </c>
      <c r="C237" s="3">
        <f t="shared" si="9"/>
        <v>558918.76249999995</v>
      </c>
      <c r="D237" s="3">
        <f>I$2+J$2*B229+K$2*B228+L$2*B227+M$2*B226</f>
        <v>558551.28251874994</v>
      </c>
      <c r="E237" s="4">
        <f t="shared" si="10"/>
        <v>8.8022407370875744E-3</v>
      </c>
      <c r="F237" s="4">
        <f t="shared" si="11"/>
        <v>9.4659481532433087E-3</v>
      </c>
    </row>
    <row r="238" spans="1:6" x14ac:dyDescent="0.25">
      <c r="A238" s="1">
        <v>43831</v>
      </c>
      <c r="B238" s="3">
        <v>552844</v>
      </c>
      <c r="C238" s="3">
        <f t="shared" si="9"/>
        <v>558835.0625</v>
      </c>
      <c r="D238" s="3">
        <f>I$2+J$2*B230+K$2*B229+L$2*B228+M$2*B227</f>
        <v>563662.24073125003</v>
      </c>
      <c r="E238" s="4">
        <f t="shared" si="10"/>
        <v>-1.0720627430208851E-2</v>
      </c>
      <c r="F238" s="4">
        <f t="shared" si="11"/>
        <v>-1.9192771751422089E-2</v>
      </c>
    </row>
    <row r="239" spans="1:6" x14ac:dyDescent="0.25">
      <c r="A239" s="1">
        <v>43922</v>
      </c>
      <c r="B239" s="3">
        <v>492031.5</v>
      </c>
      <c r="C239" s="3">
        <f t="shared" si="9"/>
        <v>546322.5625</v>
      </c>
      <c r="D239" s="3">
        <f>I$2+J$2*B231+K$2*B230+L$2*B229+M$2*B228</f>
        <v>566761.77070875</v>
      </c>
      <c r="E239" s="4">
        <f t="shared" si="10"/>
        <v>-9.937547197677743E-2</v>
      </c>
      <c r="F239" s="4">
        <f t="shared" si="11"/>
        <v>-0.13185481902792751</v>
      </c>
    </row>
    <row r="240" spans="1:6" x14ac:dyDescent="0.25">
      <c r="A240" s="1">
        <v>44013</v>
      </c>
      <c r="B240" s="3">
        <v>536725.3125</v>
      </c>
      <c r="C240" s="3">
        <f t="shared" si="9"/>
        <v>541534.52500000002</v>
      </c>
      <c r="D240" s="3">
        <f>I$2+J$2*B232+K$2*B231+L$2*B230+M$2*B229</f>
        <v>570162.71722124994</v>
      </c>
      <c r="E240" s="4">
        <f t="shared" si="10"/>
        <v>-8.8807126378508405E-3</v>
      </c>
      <c r="F240" s="4">
        <f t="shared" si="11"/>
        <v>-5.8645372121507333E-2</v>
      </c>
    </row>
    <row r="241" spans="1:6" x14ac:dyDescent="0.25">
      <c r="A241" s="1">
        <v>44105</v>
      </c>
      <c r="B241" s="3">
        <v>546807</v>
      </c>
      <c r="C241" s="3">
        <f t="shared" si="9"/>
        <v>538449.26249999995</v>
      </c>
      <c r="D241" s="3">
        <f>I$2+J$2*B233+K$2*B232+L$2*B231+M$2*B230</f>
        <v>573348.08794875001</v>
      </c>
      <c r="E241" s="4">
        <f t="shared" si="10"/>
        <v>1.5521866370835635E-2</v>
      </c>
      <c r="F241" s="4">
        <f t="shared" si="11"/>
        <v>-4.6291403959687449E-2</v>
      </c>
    </row>
    <row r="242" spans="1:6" x14ac:dyDescent="0.25">
      <c r="A242" s="1">
        <v>44197</v>
      </c>
      <c r="B242" s="3">
        <v>556122.3125</v>
      </c>
      <c r="C242" s="3">
        <f t="shared" si="9"/>
        <v>536906.02500000002</v>
      </c>
      <c r="D242" s="3">
        <f>I$2+J$2*B234+K$2*B233+L$2*B232+M$2*B231</f>
        <v>575708.839053125</v>
      </c>
      <c r="E242" s="4">
        <f t="shared" si="10"/>
        <v>3.5790783871348708E-2</v>
      </c>
      <c r="F242" s="4">
        <f t="shared" si="11"/>
        <v>-3.402158387100529E-2</v>
      </c>
    </row>
    <row r="243" spans="1:6" x14ac:dyDescent="0.25">
      <c r="A243" s="1">
        <v>44287</v>
      </c>
      <c r="B243" s="3">
        <v>555470.5</v>
      </c>
      <c r="C243" s="3">
        <f t="shared" si="9"/>
        <v>537431.32499999995</v>
      </c>
      <c r="D243" s="3">
        <f>I$2+J$2*B235+K$2*B234+L$2*B233+M$2*B232</f>
        <v>580046.36664062494</v>
      </c>
      <c r="E243" s="4">
        <f t="shared" si="10"/>
        <v>3.3565544397695879E-2</v>
      </c>
      <c r="F243" s="4">
        <f t="shared" si="11"/>
        <v>-4.2368796796293351E-2</v>
      </c>
    </row>
    <row r="244" spans="1:6" x14ac:dyDescent="0.25">
      <c r="A244" s="1">
        <v>44378</v>
      </c>
      <c r="B244" s="3">
        <v>566660.5</v>
      </c>
      <c r="C244" s="3">
        <f t="shared" si="9"/>
        <v>552357.125</v>
      </c>
      <c r="D244" s="3">
        <f>I$2+J$2*B236+K$2*B235+L$2*B234+M$2*B233</f>
        <v>581770.26556312502</v>
      </c>
      <c r="E244" s="4">
        <f t="shared" si="10"/>
        <v>2.5895157956005388E-2</v>
      </c>
      <c r="F244" s="4">
        <f t="shared" si="11"/>
        <v>-2.5972048517294954E-2</v>
      </c>
    </row>
    <row r="245" spans="1:6" x14ac:dyDescent="0.25">
      <c r="A245" s="1">
        <v>44470</v>
      </c>
      <c r="B245" s="3">
        <v>576806</v>
      </c>
      <c r="C245" s="3">
        <f t="shared" si="9"/>
        <v>560373.26249999995</v>
      </c>
      <c r="D245" s="3">
        <f>I$2+J$2*B237+K$2*B236+L$2*B235+M$2*B234</f>
        <v>583988.56810312497</v>
      </c>
      <c r="E245" s="4">
        <f t="shared" si="10"/>
        <v>2.932462806431646E-2</v>
      </c>
      <c r="F245" s="4">
        <f t="shared" si="11"/>
        <v>-1.2299158742875682E-2</v>
      </c>
    </row>
    <row r="246" spans="1:6" x14ac:dyDescent="0.25">
      <c r="A246" s="1">
        <v>44562</v>
      </c>
      <c r="B246" s="3">
        <v>581725.3125</v>
      </c>
      <c r="C246" s="3">
        <f t="shared" si="9"/>
        <v>567356.92500000005</v>
      </c>
      <c r="D246" s="3">
        <f>I$2+J$2*B238+K$2*B237+L$2*B236+M$2*B235</f>
        <v>579935.71365812502</v>
      </c>
      <c r="E246" s="4">
        <f t="shared" si="10"/>
        <v>2.5325129326657869E-2</v>
      </c>
      <c r="F246" s="4">
        <f t="shared" si="11"/>
        <v>3.0858572764669301E-3</v>
      </c>
    </row>
    <row r="247" spans="1:6" x14ac:dyDescent="0.25">
      <c r="A247" s="1">
        <v>44652</v>
      </c>
      <c r="B247" s="3">
        <v>587179.3125</v>
      </c>
      <c r="C247" s="3">
        <f t="shared" si="9"/>
        <v>573568.32499999995</v>
      </c>
      <c r="D247" s="3">
        <f>I$2+J$2*B239+K$2*B238+L$2*B237+M$2*B236</f>
        <v>546740.04043062497</v>
      </c>
      <c r="E247" s="4">
        <f t="shared" si="10"/>
        <v>2.3730368130074231E-2</v>
      </c>
      <c r="F247" s="4">
        <f t="shared" si="11"/>
        <v>7.3964350658356937E-2</v>
      </c>
    </row>
    <row r="248" spans="1:6" x14ac:dyDescent="0.25">
      <c r="A248" s="1">
        <v>44743</v>
      </c>
      <c r="B248" s="3">
        <v>590733.3125</v>
      </c>
      <c r="C248" s="3">
        <f t="shared" si="9"/>
        <v>580620.88749999995</v>
      </c>
      <c r="D248" s="3">
        <f>I$2+J$2*B240+K$2*B239+L$2*B238+M$2*B237</f>
        <v>566854.64232312504</v>
      </c>
      <c r="E248" s="4">
        <f t="shared" si="10"/>
        <v>1.7416571152893745E-2</v>
      </c>
      <c r="F248" s="4">
        <f t="shared" si="11"/>
        <v>4.2124855993087795E-2</v>
      </c>
    </row>
    <row r="249" spans="1:6" x14ac:dyDescent="0.25">
      <c r="A249" s="1">
        <v>44835</v>
      </c>
      <c r="B249" s="3">
        <v>589886.8125</v>
      </c>
      <c r="C249" s="3">
        <f t="shared" si="9"/>
        <v>585266.15</v>
      </c>
      <c r="D249" s="3">
        <f>I$2+J$2*B241+K$2*B240+L$2*B239+M$2*B238</f>
        <v>562732.63262812491</v>
      </c>
      <c r="E249" s="4">
        <f t="shared" si="10"/>
        <v>7.8949764991533833E-3</v>
      </c>
      <c r="F249" s="4">
        <f t="shared" si="11"/>
        <v>4.8254141127478611E-2</v>
      </c>
    </row>
    <row r="250" spans="1:6" x14ac:dyDescent="0.25">
      <c r="A250" s="1">
        <v>44927</v>
      </c>
      <c r="B250" s="3">
        <v>595588.8125</v>
      </c>
      <c r="C250" s="3">
        <f t="shared" si="9"/>
        <v>589022.71250000002</v>
      </c>
      <c r="D250" s="3">
        <f>I$2+J$2*B242+K$2*B241+L$2*B240+M$2*B239</f>
        <v>558423.71183625003</v>
      </c>
      <c r="E250" s="4">
        <f t="shared" si="10"/>
        <v>1.1147447900831109E-2</v>
      </c>
      <c r="F250" s="4">
        <f t="shared" si="11"/>
        <v>6.6553586239274987E-2</v>
      </c>
    </row>
    <row r="251" spans="1:6" x14ac:dyDescent="0.25">
      <c r="A251" s="1">
        <v>45017</v>
      </c>
      <c r="B251" s="3">
        <v>596820</v>
      </c>
      <c r="C251" s="3">
        <f t="shared" si="9"/>
        <v>592041.65</v>
      </c>
      <c r="D251" s="3">
        <f>I$2+J$2*B243+K$2*B242+L$2*B241+M$2*B240</f>
        <v>572187.80169875</v>
      </c>
      <c r="E251" s="4">
        <f t="shared" si="10"/>
        <v>8.0709693312961406E-3</v>
      </c>
      <c r="F251" s="4">
        <f t="shared" si="11"/>
        <v>4.3049149646532614E-2</v>
      </c>
    </row>
    <row r="252" spans="1:6" x14ac:dyDescent="0.25">
      <c r="A252" s="1">
        <v>45108</v>
      </c>
      <c r="B252" s="3">
        <v>595994.8125</v>
      </c>
      <c r="C252" s="3">
        <f t="shared" si="9"/>
        <v>593804.75</v>
      </c>
      <c r="D252" s="3">
        <f>I$2+J$2*B244+K$2*B243+L$2*B242+M$2*B241</f>
        <v>582394.30798812502</v>
      </c>
      <c r="E252" s="4">
        <f t="shared" si="10"/>
        <v>3.6881862261963771E-3</v>
      </c>
      <c r="F252" s="4">
        <f t="shared" si="11"/>
        <v>2.3352742850214048E-2</v>
      </c>
    </row>
    <row r="253" spans="1:6" x14ac:dyDescent="0.25">
      <c r="A253" s="1">
        <v>45200</v>
      </c>
      <c r="B253" s="3">
        <v>597039.3125</v>
      </c>
      <c r="C253" s="3">
        <f t="shared" si="9"/>
        <v>595065.94999999995</v>
      </c>
      <c r="D253" s="3">
        <f>I$2+J$2*B245+K$2*B244+L$2*B243+M$2*B242</f>
        <v>590965.42327062506</v>
      </c>
      <c r="E253" s="4">
        <f t="shared" si="10"/>
        <v>3.3162080606361499E-3</v>
      </c>
      <c r="F253" s="4">
        <f t="shared" si="11"/>
        <v>1.027790965461195E-2</v>
      </c>
    </row>
    <row r="254" spans="1:6" x14ac:dyDescent="0.25">
      <c r="A254" s="1">
        <v>45292</v>
      </c>
      <c r="B254" s="3">
        <v>600063.8125</v>
      </c>
      <c r="C254" s="3">
        <f t="shared" si="9"/>
        <v>597101.35</v>
      </c>
      <c r="D254" s="3">
        <f>I$2+J$2*B246+K$2*B245+L$2*B244+M$2*B243</f>
        <v>595660.36155312497</v>
      </c>
      <c r="E254" s="4">
        <f t="shared" si="10"/>
        <v>4.9614064680980619E-3</v>
      </c>
      <c r="F254" s="4">
        <f t="shared" si="11"/>
        <v>7.3925532586951448E-3</v>
      </c>
    </row>
    <row r="255" spans="1:6" x14ac:dyDescent="0.25">
      <c r="A255" s="1">
        <v>45383</v>
      </c>
      <c r="B255" s="3">
        <v>603350</v>
      </c>
      <c r="C255" s="3">
        <f t="shared" si="9"/>
        <v>598653.58750000002</v>
      </c>
      <c r="D255" s="3">
        <f>I$2+J$2*B247+K$2*B246+L$2*B245+M$2*B244</f>
        <v>603440.70213124994</v>
      </c>
      <c r="E255" s="4">
        <f t="shared" si="10"/>
        <v>7.8449584167905595E-3</v>
      </c>
      <c r="F255" s="4">
        <f t="shared" si="11"/>
        <v>-1.5030827541062663E-4</v>
      </c>
    </row>
    <row r="256" spans="1:6" x14ac:dyDescent="0.25">
      <c r="A256" s="1">
        <v>45474</v>
      </c>
      <c r="B256" s="3">
        <v>604893</v>
      </c>
      <c r="C256" s="3">
        <f t="shared" si="9"/>
        <v>600268.1875</v>
      </c>
      <c r="D256" s="3">
        <f>I$2+J$2*B248+K$2*B247+L$2*B246+M$2*B245</f>
        <v>609153.50572437502</v>
      </c>
      <c r="E256" s="4">
        <f t="shared" si="10"/>
        <v>7.704577047904948E-3</v>
      </c>
      <c r="F256" s="4">
        <f t="shared" si="11"/>
        <v>-6.9941413524471363E-3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NGDPRSAXDCCAQ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Terry Yip</cp:lastModifiedBy>
  <dcterms:created xsi:type="dcterms:W3CDTF">2025-02-17T20:52:41Z</dcterms:created>
  <dcterms:modified xsi:type="dcterms:W3CDTF">2025-02-26T05:07:47Z</dcterms:modified>
</cp:coreProperties>
</file>