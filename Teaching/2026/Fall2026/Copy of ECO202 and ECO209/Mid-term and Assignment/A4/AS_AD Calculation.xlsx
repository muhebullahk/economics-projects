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A4/"/>
    </mc:Choice>
  </mc:AlternateContent>
  <xr:revisionPtr revIDLastSave="49" documentId="8_{E2CC9B4D-A93B-4070-931E-9E2C4B1001B1}" xr6:coauthVersionLast="47" xr6:coauthVersionMax="47" xr10:uidLastSave="{4DD7E24B-6426-4EE0-A9CE-D3A93BE30531}"/>
  <bookViews>
    <workbookView xWindow="-110" yWindow="-110" windowWidth="19420" windowHeight="11500" xr2:uid="{470DCE6C-A77E-4D3D-B492-AA4061291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D10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D53" i="1" s="1"/>
  <c r="D34" i="1" l="1"/>
  <c r="D22" i="1"/>
  <c r="D21" i="1"/>
  <c r="D36" i="1"/>
  <c r="D4" i="1"/>
  <c r="D51" i="1"/>
  <c r="D18" i="1"/>
  <c r="D49" i="1"/>
  <c r="D33" i="1"/>
  <c r="D17" i="1"/>
  <c r="D48" i="1"/>
  <c r="D32" i="1"/>
  <c r="D16" i="1"/>
  <c r="D23" i="1"/>
  <c r="D38" i="1"/>
  <c r="D37" i="1"/>
  <c r="D52" i="1"/>
  <c r="D20" i="1"/>
  <c r="D35" i="1"/>
  <c r="D50" i="1"/>
  <c r="D3" i="1"/>
  <c r="D47" i="1"/>
  <c r="D31" i="1"/>
  <c r="D15" i="1"/>
  <c r="D14" i="1"/>
  <c r="D13" i="1"/>
  <c r="D12" i="1"/>
  <c r="D11" i="1"/>
  <c r="D39" i="1"/>
  <c r="D46" i="1"/>
  <c r="D29" i="1"/>
  <c r="D44" i="1"/>
  <c r="D28" i="1"/>
  <c r="D43" i="1"/>
  <c r="D27" i="1"/>
  <c r="D42" i="1"/>
  <c r="D26" i="1"/>
  <c r="D9" i="1"/>
  <c r="D30" i="1"/>
  <c r="D45" i="1"/>
  <c r="D41" i="1"/>
  <c r="D25" i="1"/>
  <c r="D40" i="1"/>
  <c r="D24" i="1"/>
  <c r="D8" i="1"/>
  <c r="D7" i="1"/>
  <c r="D6" i="1"/>
  <c r="D5" i="1"/>
  <c r="D19" i="1"/>
  <c r="C53" i="1"/>
  <c r="B54" i="1"/>
  <c r="D54" i="1" s="1"/>
  <c r="C9" i="1"/>
  <c r="C7" i="1"/>
  <c r="C4" i="1"/>
  <c r="C3" i="1"/>
  <c r="C54" i="1" l="1"/>
  <c r="B55" i="1"/>
  <c r="D55" i="1" s="1"/>
  <c r="C8" i="1"/>
  <c r="C10" i="1"/>
  <c r="C6" i="1"/>
  <c r="C5" i="1"/>
  <c r="B56" i="1" l="1"/>
  <c r="D56" i="1" s="1"/>
  <c r="C55" i="1"/>
  <c r="C11" i="1"/>
  <c r="B57" i="1" l="1"/>
  <c r="D57" i="1" s="1"/>
  <c r="C56" i="1"/>
  <c r="C12" i="1"/>
  <c r="B58" i="1" l="1"/>
  <c r="D58" i="1" s="1"/>
  <c r="C57" i="1"/>
  <c r="C13" i="1"/>
  <c r="B59" i="1" l="1"/>
  <c r="D59" i="1" s="1"/>
  <c r="C58" i="1"/>
  <c r="C14" i="1"/>
  <c r="B60" i="1" l="1"/>
  <c r="D60" i="1" s="1"/>
  <c r="C59" i="1"/>
  <c r="C15" i="1"/>
  <c r="B61" i="1" l="1"/>
  <c r="D61" i="1" s="1"/>
  <c r="C60" i="1"/>
  <c r="C16" i="1"/>
  <c r="C61" i="1" l="1"/>
  <c r="B62" i="1"/>
  <c r="C17" i="1"/>
  <c r="C62" i="1" l="1"/>
  <c r="D62" i="1"/>
  <c r="C18" i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/>
</calcChain>
</file>

<file path=xl/sharedStrings.xml><?xml version="1.0" encoding="utf-8"?>
<sst xmlns="http://schemas.openxmlformats.org/spreadsheetml/2006/main" count="9" uniqueCount="9">
  <si>
    <t>pi</t>
  </si>
  <si>
    <t>y</t>
  </si>
  <si>
    <t>v</t>
  </si>
  <si>
    <t>b</t>
  </si>
  <si>
    <t>m</t>
  </si>
  <si>
    <t>pi_bar</t>
  </si>
  <si>
    <t>a</t>
  </si>
  <si>
    <t>o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</si>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</sst>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Sheet1!$B$3:$B$62</c:f>
              <c:numCache>
                <c:formatCode>0.0000</c:formatCode>
                <c:ptCount val="60"/>
                <c:pt idx="0">
                  <c:v>0.26923076923076927</c:v>
                </c:pt>
                <c:pt idx="1">
                  <c:v>0.48082840236686392</c:v>
                </c:pt>
                <c:pt idx="2">
                  <c:v>0.67614929449248984</c:v>
                </c:pt>
                <c:pt idx="3">
                  <c:v>0.8564455026084522</c:v>
                </c:pt>
                <c:pt idx="4">
                  <c:v>1.0228727716385713</c:v>
                </c:pt>
                <c:pt idx="5">
                  <c:v>1.176497943050989</c:v>
                </c:pt>
                <c:pt idx="6">
                  <c:v>1.3183057935855285</c:v>
                </c:pt>
                <c:pt idx="7">
                  <c:v>1.4492053479251032</c:v>
                </c:pt>
                <c:pt idx="8">
                  <c:v>1.5700357057770185</c:v>
                </c:pt>
                <c:pt idx="9">
                  <c:v>1.6815714207172479</c:v>
                </c:pt>
                <c:pt idx="10">
                  <c:v>1.7845274652774596</c:v>
                </c:pt>
                <c:pt idx="11">
                  <c:v>1.8795638141022706</c:v>
                </c:pt>
                <c:pt idx="12">
                  <c:v>1.9672896745559421</c:v>
                </c:pt>
                <c:pt idx="13">
                  <c:v>2.0482673918977929</c:v>
                </c:pt>
                <c:pt idx="14">
                  <c:v>2.1230160540595011</c:v>
                </c:pt>
                <c:pt idx="15">
                  <c:v>2.1920148191318471</c:v>
                </c:pt>
                <c:pt idx="16">
                  <c:v>2.2557059868909359</c:v>
                </c:pt>
                <c:pt idx="17">
                  <c:v>2.3144978340531717</c:v>
                </c:pt>
                <c:pt idx="18">
                  <c:v>2.3687672314336967</c:v>
                </c:pt>
                <c:pt idx="19">
                  <c:v>2.4188620597849506</c:v>
                </c:pt>
                <c:pt idx="20">
                  <c:v>2.465103439801493</c:v>
                </c:pt>
                <c:pt idx="21">
                  <c:v>2.5077877905859935</c:v>
                </c:pt>
                <c:pt idx="22">
                  <c:v>2.5471887297716864</c:v>
                </c:pt>
                <c:pt idx="23">
                  <c:v>2.5835588274815566</c:v>
                </c:pt>
                <c:pt idx="24">
                  <c:v>2.6171312253675909</c:v>
                </c:pt>
                <c:pt idx="25">
                  <c:v>2.6481211311085455</c:v>
                </c:pt>
                <c:pt idx="26">
                  <c:v>2.6767271979463496</c:v>
                </c:pt>
                <c:pt idx="27">
                  <c:v>2.7031327981043227</c:v>
                </c:pt>
                <c:pt idx="28">
                  <c:v>2.727507198250144</c:v>
                </c:pt>
                <c:pt idx="29">
                  <c:v>2.7500066445385944</c:v>
                </c:pt>
                <c:pt idx="30">
                  <c:v>2.7707753641894719</c:v>
                </c:pt>
                <c:pt idx="31">
                  <c:v>2.7899464900210509</c:v>
                </c:pt>
                <c:pt idx="32">
                  <c:v>2.8076429138655854</c:v>
                </c:pt>
                <c:pt idx="33">
                  <c:v>2.8239780743374636</c:v>
                </c:pt>
                <c:pt idx="34">
                  <c:v>2.8390566840038125</c:v>
                </c:pt>
                <c:pt idx="35">
                  <c:v>2.8529754006189041</c:v>
                </c:pt>
                <c:pt idx="36">
                  <c:v>2.8658234467251424</c:v>
                </c:pt>
                <c:pt idx="37">
                  <c:v>2.8776831815924391</c:v>
                </c:pt>
                <c:pt idx="38">
                  <c:v>2.8886306291622517</c:v>
                </c:pt>
                <c:pt idx="39">
                  <c:v>2.8987359653805402</c:v>
                </c:pt>
                <c:pt idx="40">
                  <c:v>2.9080639680435758</c:v>
                </c:pt>
                <c:pt idx="41">
                  <c:v>2.916674432040224</c:v>
                </c:pt>
                <c:pt idx="42">
                  <c:v>2.9246225526525147</c:v>
                </c:pt>
                <c:pt idx="43">
                  <c:v>2.9319592793715521</c:v>
                </c:pt>
                <c:pt idx="44">
                  <c:v>2.9387316424968173</c:v>
                </c:pt>
                <c:pt idx="45">
                  <c:v>2.9449830546124467</c:v>
                </c:pt>
                <c:pt idx="46">
                  <c:v>2.9507535888730279</c:v>
                </c:pt>
                <c:pt idx="47">
                  <c:v>2.9560802358827951</c:v>
                </c:pt>
                <c:pt idx="48">
                  <c:v>2.9609971408148876</c:v>
                </c:pt>
                <c:pt idx="49">
                  <c:v>2.9655358222906654</c:v>
                </c:pt>
                <c:pt idx="50">
                  <c:v>2.9697253744221528</c:v>
                </c:pt>
                <c:pt idx="51">
                  <c:v>2.9735926533127564</c:v>
                </c:pt>
                <c:pt idx="52">
                  <c:v>2.9771624492117752</c:v>
                </c:pt>
                <c:pt idx="53">
                  <c:v>2.9804576454262541</c:v>
                </c:pt>
                <c:pt idx="54">
                  <c:v>2.9834993650088499</c:v>
                </c:pt>
                <c:pt idx="55">
                  <c:v>2.9863071061620152</c:v>
                </c:pt>
                <c:pt idx="56">
                  <c:v>2.9888988672264758</c:v>
                </c:pt>
                <c:pt idx="57">
                  <c:v>2.9912912620552086</c:v>
                </c:pt>
                <c:pt idx="58">
                  <c:v>2.9934996265125005</c:v>
                </c:pt>
                <c:pt idx="59">
                  <c:v>2.9955381167807698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0-4569-9827-A8D46172686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Sheet1!$C$3:$C$62</c:f>
              <c:numCache>
                <c:formatCode>0.000</c:formatCode>
                <c:ptCount val="60"/>
                <c:pt idx="0">
                  <c:v>0.45846153846153848</c:v>
                </c:pt>
                <c:pt idx="1">
                  <c:v>0.42319526627218934</c:v>
                </c:pt>
                <c:pt idx="2">
                  <c:v>0.39064178425125173</c:v>
                </c:pt>
                <c:pt idx="3">
                  <c:v>0.36059241623192462</c:v>
                </c:pt>
                <c:pt idx="4">
                  <c:v>0.33285453806023813</c:v>
                </c:pt>
                <c:pt idx="5">
                  <c:v>0.30725034282483521</c:v>
                </c:pt>
                <c:pt idx="6">
                  <c:v>0.28361570106907863</c:v>
                </c:pt>
                <c:pt idx="7">
                  <c:v>0.26179910867914946</c:v>
                </c:pt>
                <c:pt idx="8">
                  <c:v>0.2416607157038303</c:v>
                </c:pt>
                <c:pt idx="9">
                  <c:v>0.22307142988045869</c:v>
                </c:pt>
                <c:pt idx="10">
                  <c:v>0.20591208912042341</c:v>
                </c:pt>
                <c:pt idx="11">
                  <c:v>0.19007269764962159</c:v>
                </c:pt>
                <c:pt idx="12">
                  <c:v>0.17545172090734301</c:v>
                </c:pt>
                <c:pt idx="13">
                  <c:v>0.16195543468370122</c:v>
                </c:pt>
                <c:pt idx="14">
                  <c:v>0.1494973243234165</c:v>
                </c:pt>
                <c:pt idx="15">
                  <c:v>0.13799753014469218</c:v>
                </c:pt>
                <c:pt idx="16">
                  <c:v>0.12738233551817735</c:v>
                </c:pt>
                <c:pt idx="17">
                  <c:v>0.11758369432447141</c:v>
                </c:pt>
                <c:pt idx="18">
                  <c:v>0.10853879476105055</c:v>
                </c:pt>
                <c:pt idx="19">
                  <c:v>0.10018965670250823</c:v>
                </c:pt>
                <c:pt idx="20">
                  <c:v>9.2482760033084532E-2</c:v>
                </c:pt>
                <c:pt idx="21">
                  <c:v>8.5368701569001115E-2</c:v>
                </c:pt>
                <c:pt idx="22">
                  <c:v>7.8801878371385636E-2</c:v>
                </c:pt>
                <c:pt idx="23">
                  <c:v>7.2740195419740583E-2</c:v>
                </c:pt>
                <c:pt idx="24">
                  <c:v>6.7144795772068222E-2</c:v>
                </c:pt>
                <c:pt idx="25">
                  <c:v>6.1979811481909119E-2</c:v>
                </c:pt>
                <c:pt idx="26">
                  <c:v>5.7212133675608401E-2</c:v>
                </c:pt>
                <c:pt idx="27">
                  <c:v>5.2811200315946216E-2</c:v>
                </c:pt>
                <c:pt idx="28">
                  <c:v>4.8748800291642691E-2</c:v>
                </c:pt>
                <c:pt idx="29">
                  <c:v>4.4998892576900928E-2</c:v>
                </c:pt>
                <c:pt idx="30">
                  <c:v>4.1537439301754686E-2</c:v>
                </c:pt>
                <c:pt idx="31">
                  <c:v>3.8342251663158189E-2</c:v>
                </c:pt>
                <c:pt idx="32">
                  <c:v>3.539284768906914E-2</c:v>
                </c:pt>
                <c:pt idx="33">
                  <c:v>3.2670320943756104E-2</c:v>
                </c:pt>
                <c:pt idx="34">
                  <c:v>3.0157219332697938E-2</c:v>
                </c:pt>
                <c:pt idx="35">
                  <c:v>2.7837433230182673E-2</c:v>
                </c:pt>
                <c:pt idx="36">
                  <c:v>2.5696092212476263E-2</c:v>
                </c:pt>
                <c:pt idx="37">
                  <c:v>2.371946973459349E-2</c:v>
                </c:pt>
                <c:pt idx="38">
                  <c:v>2.1894895139624726E-2</c:v>
                </c:pt>
                <c:pt idx="39">
                  <c:v>2.0210672436576649E-2</c:v>
                </c:pt>
                <c:pt idx="40">
                  <c:v>1.8656005326070701E-2</c:v>
                </c:pt>
                <c:pt idx="41">
                  <c:v>1.7220927993295998E-2</c:v>
                </c:pt>
                <c:pt idx="42">
                  <c:v>1.5896241224580887E-2</c:v>
                </c:pt>
                <c:pt idx="43">
                  <c:v>1.4673453438074691E-2</c:v>
                </c:pt>
                <c:pt idx="44">
                  <c:v>1.3544726250530492E-2</c:v>
                </c:pt>
                <c:pt idx="45">
                  <c:v>1.2502824231258924E-2</c:v>
                </c:pt>
                <c:pt idx="46">
                  <c:v>1.1541068521162046E-2</c:v>
                </c:pt>
                <c:pt idx="47">
                  <c:v>1.0653294019534187E-2</c:v>
                </c:pt>
                <c:pt idx="48">
                  <c:v>9.8338098641854166E-3</c:v>
                </c:pt>
                <c:pt idx="49">
                  <c:v>9.0773629515558119E-3</c:v>
                </c:pt>
                <c:pt idx="50">
                  <c:v>8.3791042629745571E-3</c:v>
                </c:pt>
                <c:pt idx="51">
                  <c:v>7.7345577812072963E-3</c:v>
                </c:pt>
                <c:pt idx="52">
                  <c:v>7.1395917980374701E-3</c:v>
                </c:pt>
                <c:pt idx="53">
                  <c:v>6.5903924289576477E-3</c:v>
                </c:pt>
                <c:pt idx="54">
                  <c:v>6.0834391651917175E-3</c:v>
                </c:pt>
                <c:pt idx="55">
                  <c:v>5.615482306330799E-3</c:v>
                </c:pt>
                <c:pt idx="56">
                  <c:v>5.1835221289207034E-3</c:v>
                </c:pt>
                <c:pt idx="57">
                  <c:v>4.7847896574652604E-3</c:v>
                </c:pt>
                <c:pt idx="58">
                  <c:v>4.4167289145832789E-3</c:v>
                </c:pt>
                <c:pt idx="59">
                  <c:v>4.0769805365383771E-3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0-4569-9827-A8D461726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1601839"/>
        <c:axId val="1501602799"/>
      </c:lineChart>
      <c:catAx>
        <c:axId val="150160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602799"/>
        <c:crosses val="autoZero"/>
        <c:auto val="1"/>
        <c:lblAlgn val="ctr"/>
        <c:lblOffset val="100"/>
        <c:noMultiLvlLbl val="0"/>
      </c:catAx>
      <c:valAx>
        <c:axId val="15016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60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Sheet1!$B$2:$B$12</c:f>
              <c:numCache>
                <c:formatCode>0.0000</c:formatCode>
                <c:ptCount val="11"/>
                <c:pt idx="0">
                  <c:v>0.02</c:v>
                </c:pt>
                <c:pt idx="1">
                  <c:v>0.26923076923076927</c:v>
                </c:pt>
                <c:pt idx="2">
                  <c:v>0.48082840236686392</c:v>
                </c:pt>
                <c:pt idx="3">
                  <c:v>0.67614929449248984</c:v>
                </c:pt>
                <c:pt idx="4">
                  <c:v>0.8564455026084522</c:v>
                </c:pt>
                <c:pt idx="5">
                  <c:v>1.0228727716385713</c:v>
                </c:pt>
                <c:pt idx="6">
                  <c:v>1.176497943050989</c:v>
                </c:pt>
                <c:pt idx="7">
                  <c:v>1.3183057935855285</c:v>
                </c:pt>
                <c:pt idx="8">
                  <c:v>1.4492053479251032</c:v>
                </c:pt>
                <c:pt idx="9">
                  <c:v>1.5700357057770185</c:v>
                </c:pt>
                <c:pt idx="10">
                  <c:v>1.6815714207172479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6-4EBF-BC7D-7BE03D7B7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505759"/>
        <c:axId val="1602502879"/>
      </c:lineChart>
      <c:catAx>
        <c:axId val="16025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502879"/>
        <c:crosses val="autoZero"/>
        <c:auto val="1"/>
        <c:lblAlgn val="ctr"/>
        <c:lblOffset val="100"/>
        <c:noMultiLvlLbl val="0"/>
      </c:catAx>
      <c:valAx>
        <c:axId val="16025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50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Sheet1!$C$2:$C$12</c:f>
              <c:numCache>
                <c:formatCode>0.000</c:formatCode>
                <c:ptCount val="11"/>
                <c:pt idx="0">
                  <c:v>0</c:v>
                </c:pt>
                <c:pt idx="1">
                  <c:v>0.45846153846153848</c:v>
                </c:pt>
                <c:pt idx="2">
                  <c:v>0.42319526627218934</c:v>
                </c:pt>
                <c:pt idx="3">
                  <c:v>0.39064178425125173</c:v>
                </c:pt>
                <c:pt idx="4">
                  <c:v>0.36059241623192462</c:v>
                </c:pt>
                <c:pt idx="5">
                  <c:v>0.33285453806023813</c:v>
                </c:pt>
                <c:pt idx="6">
                  <c:v>0.30725034282483521</c:v>
                </c:pt>
                <c:pt idx="7">
                  <c:v>0.28361570106907863</c:v>
                </c:pt>
                <c:pt idx="8">
                  <c:v>0.26179910867914946</c:v>
                </c:pt>
                <c:pt idx="9">
                  <c:v>0.2416607157038303</c:v>
                </c:pt>
                <c:pt idx="10">
                  <c:v>0.22307142988045869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3-4F58-AAB7-99256E264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664015"/>
        <c:axId val="1597662095"/>
      </c:lineChart>
      <c:catAx>
        <c:axId val="159766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62095"/>
        <c:crosses val="autoZero"/>
        <c:auto val="1"/>
        <c:lblAlgn val="ctr"/>
        <c:lblOffset val="100"/>
        <c:noMultiLvlLbl val="0"/>
      </c:catAx>
      <c:valAx>
        <c:axId val="15976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6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Sheet1!$D$2:$D$12</c:f>
              <c:numCache>
                <c:formatCode>0.000</c:formatCode>
                <c:ptCount val="11"/>
                <c:pt idx="0">
                  <c:v>0.02</c:v>
                </c:pt>
                <c:pt idx="1">
                  <c:v>0.10307692307692309</c:v>
                </c:pt>
                <c:pt idx="2">
                  <c:v>0.17360946745562128</c:v>
                </c:pt>
                <c:pt idx="3">
                  <c:v>0.23871643149749658</c:v>
                </c:pt>
                <c:pt idx="4">
                  <c:v>0.29881516753615073</c:v>
                </c:pt>
                <c:pt idx="5">
                  <c:v>0.35429092387952377</c:v>
                </c:pt>
                <c:pt idx="6">
                  <c:v>0.40549931435032965</c:v>
                </c:pt>
                <c:pt idx="7">
                  <c:v>0.45276859786184281</c:v>
                </c:pt>
                <c:pt idx="8">
                  <c:v>0.49640178264170109</c:v>
                </c:pt>
                <c:pt idx="9">
                  <c:v>0.53667856859233942</c:v>
                </c:pt>
                <c:pt idx="10">
                  <c:v>0.57385714023908263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0-450C-B44E-64DE7D09B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663535"/>
        <c:axId val="1403173039"/>
      </c:lineChart>
      <c:catAx>
        <c:axId val="159766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173039"/>
        <c:crosses val="autoZero"/>
        <c:auto val="1"/>
        <c:lblAlgn val="ctr"/>
        <c:lblOffset val="100"/>
        <c:noMultiLvlLbl val="0"/>
      </c:catAx>
      <c:valAx>
        <c:axId val="140317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6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35</xdr:row>
      <xdr:rowOff>133350</xdr:rowOff>
    </xdr:from>
    <xdr:to>
      <xdr:col>23</xdr:col>
      <xdr:colOff>295275</xdr:colOff>
      <xdr:row>61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3CFA47-4E63-B81E-9026-39659C62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11</xdr:row>
      <xdr:rowOff>0</xdr:rowOff>
    </xdr:from>
    <xdr:to>
      <xdr:col>13</xdr:col>
      <xdr:colOff>9525</xdr:colOff>
      <xdr:row>25</xdr:row>
      <xdr:rowOff>61912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B59C2A-9B50-1A10-0152-5B09FF763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11</xdr:row>
      <xdr:rowOff>0</xdr:rowOff>
    </xdr:from>
    <xdr:to>
      <xdr:col>19</xdr:col>
      <xdr:colOff>0</xdr:colOff>
      <xdr:row>25</xdr:row>
      <xdr:rowOff>61912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1D0C45-EECA-C199-94DB-3BA064223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11</xdr:row>
      <xdr:rowOff>4762</xdr:rowOff>
    </xdr:from>
    <xdr:to>
      <xdr:col>25</xdr:col>
      <xdr:colOff>19050</xdr:colOff>
      <xdr:row>25</xdr:row>
      <xdr:rowOff>80962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2C68A70-BD70-16C1-9825-7BB9005C1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AE71-A5B3-4611-8844-C3391F65F519}">
  <dimension ref="A1:I62"/>
  <sheetViews>
    <sheetView tabSelected="1" workbookViewId="0">
      <selection activeCell="C5" sqref="C5"/>
    </sheetView>
  </sheetViews>
  <sheetFormatPr defaultRowHeight="14.5" x14ac:dyDescent="0.35"/>
  <cols>
    <col min="3" max="4" width="8.1796875" customWidth="1"/>
  </cols>
  <sheetData>
    <row r="1" spans="1:9" x14ac:dyDescent="0.35">
      <c r="B1" t="s">
        <v>0</v>
      </c>
      <c r="C1" t="s">
        <v>1</v>
      </c>
      <c r="D1" t="s">
        <v>8</v>
      </c>
      <c r="E1" t="s">
        <v>6</v>
      </c>
      <c r="F1" t="s">
        <v>7</v>
      </c>
    </row>
    <row r="2" spans="1:9" x14ac:dyDescent="0.35">
      <c r="A2">
        <v>0</v>
      </c>
      <c r="B2" s="1">
        <v>0.02</v>
      </c>
      <c r="C2" s="2">
        <v>0</v>
      </c>
      <c r="D2" s="2">
        <v>0.02</v>
      </c>
      <c r="E2" s="2">
        <v>0</v>
      </c>
      <c r="F2" s="2"/>
      <c r="G2" s="2"/>
      <c r="H2" t="s">
        <v>2</v>
      </c>
      <c r="I2">
        <v>0.5</v>
      </c>
    </row>
    <row r="3" spans="1:9" x14ac:dyDescent="0.35">
      <c r="A3">
        <v>1</v>
      </c>
      <c r="B3" s="1">
        <f>(B2+I$2*(E3+I$3*I$4*I$5)+F3)/(1+I$2*I$3*I$4)</f>
        <v>0.26923076923076927</v>
      </c>
      <c r="C3" s="2">
        <f>E3-I$3*I$4*(B3-I$5)</f>
        <v>0.45846153846153848</v>
      </c>
      <c r="D3" s="2">
        <f>D$2+I$4*(B3-I$5)</f>
        <v>0.10307692307692309</v>
      </c>
      <c r="E3" s="2">
        <v>0.5</v>
      </c>
      <c r="F3" s="2">
        <v>0.02</v>
      </c>
      <c r="G3" s="2"/>
      <c r="H3" t="s">
        <v>3</v>
      </c>
      <c r="I3">
        <v>0.5</v>
      </c>
    </row>
    <row r="4" spans="1:9" x14ac:dyDescent="0.35">
      <c r="A4">
        <v>2</v>
      </c>
      <c r="B4" s="1">
        <f t="shared" ref="B4:B52" si="0">(B3+I$2*(E4+I$3*I$4*I$5)+F4)/(1+I$2*I$3*I$4)</f>
        <v>0.48082840236686392</v>
      </c>
      <c r="C4" s="2">
        <f>E4-I$3*I$4*(B4-I$5)</f>
        <v>0.42319526627218934</v>
      </c>
      <c r="D4" s="2">
        <f t="shared" ref="D4:D62" si="1">D$2+I$4*(B4-I$5)</f>
        <v>0.17360946745562128</v>
      </c>
      <c r="E4" s="2">
        <v>0.5</v>
      </c>
      <c r="F4" s="2">
        <v>0</v>
      </c>
      <c r="G4" s="2"/>
      <c r="H4" t="s">
        <v>4</v>
      </c>
      <c r="I4">
        <f>1/3</f>
        <v>0.33333333333333331</v>
      </c>
    </row>
    <row r="5" spans="1:9" x14ac:dyDescent="0.35">
      <c r="A5">
        <v>3</v>
      </c>
      <c r="B5" s="1">
        <f t="shared" si="0"/>
        <v>0.67614929449248984</v>
      </c>
      <c r="C5" s="2">
        <f>E5-I$3*I$4*(B5-I$5)</f>
        <v>0.39064178425125173</v>
      </c>
      <c r="D5" s="2">
        <f t="shared" si="1"/>
        <v>0.23871643149749658</v>
      </c>
      <c r="E5" s="2">
        <v>0.5</v>
      </c>
      <c r="F5" s="2">
        <v>0</v>
      </c>
      <c r="G5" s="2"/>
      <c r="H5" t="s">
        <v>5</v>
      </c>
      <c r="I5">
        <v>0.02</v>
      </c>
    </row>
    <row r="6" spans="1:9" x14ac:dyDescent="0.35">
      <c r="A6">
        <v>4</v>
      </c>
      <c r="B6" s="1">
        <f t="shared" si="0"/>
        <v>0.8564455026084522</v>
      </c>
      <c r="C6" s="2">
        <f>E6-I$3*I$4*(B6-I$5)</f>
        <v>0.36059241623192462</v>
      </c>
      <c r="D6" s="2">
        <f t="shared" si="1"/>
        <v>0.29881516753615073</v>
      </c>
      <c r="E6" s="2">
        <v>0.5</v>
      </c>
      <c r="F6" s="2">
        <v>0</v>
      </c>
      <c r="G6" s="2"/>
    </row>
    <row r="7" spans="1:9" x14ac:dyDescent="0.35">
      <c r="A7">
        <v>5</v>
      </c>
      <c r="B7" s="1">
        <f t="shared" si="0"/>
        <v>1.0228727716385713</v>
      </c>
      <c r="C7" s="2">
        <f t="shared" ref="C7:C23" si="2">E7-I$3*I$4*(B7-I$5)</f>
        <v>0.33285453806023813</v>
      </c>
      <c r="D7" s="2">
        <f t="shared" si="1"/>
        <v>0.35429092387952377</v>
      </c>
      <c r="E7" s="2">
        <v>0.5</v>
      </c>
      <c r="F7" s="2">
        <v>0</v>
      </c>
    </row>
    <row r="8" spans="1:9" x14ac:dyDescent="0.35">
      <c r="A8">
        <v>6</v>
      </c>
      <c r="B8" s="1">
        <f t="shared" si="0"/>
        <v>1.176497943050989</v>
      </c>
      <c r="C8" s="2">
        <f t="shared" si="2"/>
        <v>0.30725034282483521</v>
      </c>
      <c r="D8" s="2">
        <f t="shared" si="1"/>
        <v>0.40549931435032965</v>
      </c>
      <c r="E8" s="2">
        <v>0.5</v>
      </c>
      <c r="F8" s="2">
        <v>0</v>
      </c>
    </row>
    <row r="9" spans="1:9" x14ac:dyDescent="0.35">
      <c r="A9">
        <v>7</v>
      </c>
      <c r="B9" s="1">
        <f t="shared" si="0"/>
        <v>1.3183057935855285</v>
      </c>
      <c r="C9" s="2">
        <f t="shared" si="2"/>
        <v>0.28361570106907863</v>
      </c>
      <c r="D9" s="2">
        <f t="shared" si="1"/>
        <v>0.45276859786184281</v>
      </c>
      <c r="E9" s="2">
        <v>0.5</v>
      </c>
      <c r="F9" s="2">
        <v>0</v>
      </c>
    </row>
    <row r="10" spans="1:9" x14ac:dyDescent="0.35">
      <c r="A10">
        <v>8</v>
      </c>
      <c r="B10" s="1">
        <f t="shared" si="0"/>
        <v>1.4492053479251032</v>
      </c>
      <c r="C10" s="2">
        <f t="shared" si="2"/>
        <v>0.26179910867914946</v>
      </c>
      <c r="D10" s="2">
        <f t="shared" si="1"/>
        <v>0.49640178264170109</v>
      </c>
      <c r="E10" s="2">
        <v>0.5</v>
      </c>
      <c r="F10" s="2">
        <v>0</v>
      </c>
    </row>
    <row r="11" spans="1:9" x14ac:dyDescent="0.35">
      <c r="A11">
        <v>9</v>
      </c>
      <c r="B11" s="1">
        <f t="shared" si="0"/>
        <v>1.5700357057770185</v>
      </c>
      <c r="C11" s="2">
        <f t="shared" si="2"/>
        <v>0.2416607157038303</v>
      </c>
      <c r="D11" s="2">
        <f t="shared" si="1"/>
        <v>0.53667856859233942</v>
      </c>
      <c r="E11" s="2">
        <v>0.5</v>
      </c>
      <c r="F11" s="2">
        <v>0</v>
      </c>
    </row>
    <row r="12" spans="1:9" x14ac:dyDescent="0.35">
      <c r="A12">
        <v>10</v>
      </c>
      <c r="B12" s="1">
        <f t="shared" si="0"/>
        <v>1.6815714207172479</v>
      </c>
      <c r="C12" s="2">
        <f t="shared" si="2"/>
        <v>0.22307142988045869</v>
      </c>
      <c r="D12" s="2">
        <f t="shared" si="1"/>
        <v>0.57385714023908263</v>
      </c>
      <c r="E12" s="2">
        <v>0.5</v>
      </c>
      <c r="F12" s="2">
        <v>0</v>
      </c>
    </row>
    <row r="13" spans="1:9" x14ac:dyDescent="0.35">
      <c r="A13">
        <v>11</v>
      </c>
      <c r="B13" s="1">
        <f t="shared" si="0"/>
        <v>1.7845274652774596</v>
      </c>
      <c r="C13" s="2">
        <f t="shared" si="2"/>
        <v>0.20591208912042341</v>
      </c>
      <c r="D13" s="2">
        <f t="shared" si="1"/>
        <v>0.60817582175915319</v>
      </c>
      <c r="E13" s="2">
        <v>0.5</v>
      </c>
      <c r="F13" s="2">
        <v>0</v>
      </c>
    </row>
    <row r="14" spans="1:9" x14ac:dyDescent="0.35">
      <c r="A14">
        <v>12</v>
      </c>
      <c r="B14" s="1">
        <f t="shared" si="0"/>
        <v>1.8795638141022706</v>
      </c>
      <c r="C14" s="2">
        <f t="shared" si="2"/>
        <v>0.19007269764962159</v>
      </c>
      <c r="D14" s="2">
        <f t="shared" si="1"/>
        <v>0.63985460470075683</v>
      </c>
      <c r="E14" s="2">
        <v>0.5</v>
      </c>
      <c r="F14" s="2">
        <v>0</v>
      </c>
    </row>
    <row r="15" spans="1:9" x14ac:dyDescent="0.35">
      <c r="A15">
        <v>13</v>
      </c>
      <c r="B15" s="1">
        <f t="shared" si="0"/>
        <v>1.9672896745559421</v>
      </c>
      <c r="C15" s="2">
        <f t="shared" si="2"/>
        <v>0.17545172090734301</v>
      </c>
      <c r="D15" s="2">
        <f t="shared" si="1"/>
        <v>0.66909655818531399</v>
      </c>
      <c r="E15" s="2">
        <v>0.5</v>
      </c>
      <c r="F15" s="2">
        <v>0</v>
      </c>
    </row>
    <row r="16" spans="1:9" x14ac:dyDescent="0.35">
      <c r="A16">
        <v>14</v>
      </c>
      <c r="B16" s="1">
        <f t="shared" si="0"/>
        <v>2.0482673918977929</v>
      </c>
      <c r="C16" s="2">
        <f t="shared" si="2"/>
        <v>0.16195543468370122</v>
      </c>
      <c r="D16" s="2">
        <f t="shared" si="1"/>
        <v>0.69608913063259759</v>
      </c>
      <c r="E16" s="2">
        <v>0.5</v>
      </c>
      <c r="F16" s="2">
        <v>0</v>
      </c>
    </row>
    <row r="17" spans="1:6" x14ac:dyDescent="0.35">
      <c r="A17">
        <v>15</v>
      </c>
      <c r="B17" s="1">
        <f t="shared" si="0"/>
        <v>2.1230160540595011</v>
      </c>
      <c r="C17" s="2">
        <f t="shared" si="2"/>
        <v>0.1494973243234165</v>
      </c>
      <c r="D17" s="2">
        <f t="shared" si="1"/>
        <v>0.72100535135316701</v>
      </c>
      <c r="E17" s="2">
        <v>0.5</v>
      </c>
      <c r="F17" s="2">
        <v>0</v>
      </c>
    </row>
    <row r="18" spans="1:6" x14ac:dyDescent="0.35">
      <c r="A18">
        <v>16</v>
      </c>
      <c r="B18" s="1">
        <f t="shared" si="0"/>
        <v>2.1920148191318471</v>
      </c>
      <c r="C18" s="2">
        <f t="shared" si="2"/>
        <v>0.13799753014469218</v>
      </c>
      <c r="D18" s="2">
        <f t="shared" si="1"/>
        <v>0.74400493971061565</v>
      </c>
      <c r="E18" s="2">
        <v>0.5</v>
      </c>
      <c r="F18" s="2">
        <v>0</v>
      </c>
    </row>
    <row r="19" spans="1:6" x14ac:dyDescent="0.35">
      <c r="A19">
        <v>17</v>
      </c>
      <c r="B19" s="1">
        <f t="shared" si="0"/>
        <v>2.2557059868909359</v>
      </c>
      <c r="C19" s="2">
        <f t="shared" si="2"/>
        <v>0.12738233551817735</v>
      </c>
      <c r="D19" s="2">
        <f t="shared" si="1"/>
        <v>0.76523532896364532</v>
      </c>
      <c r="E19" s="2">
        <v>0.5</v>
      </c>
      <c r="F19" s="2">
        <v>0</v>
      </c>
    </row>
    <row r="20" spans="1:6" x14ac:dyDescent="0.35">
      <c r="A20">
        <v>18</v>
      </c>
      <c r="B20" s="1">
        <f t="shared" si="0"/>
        <v>2.3144978340531717</v>
      </c>
      <c r="C20" s="2">
        <f t="shared" si="2"/>
        <v>0.11758369432447141</v>
      </c>
      <c r="D20" s="2">
        <f t="shared" si="1"/>
        <v>0.7848326113510572</v>
      </c>
      <c r="E20" s="2">
        <v>0.5</v>
      </c>
      <c r="F20" s="2">
        <v>0</v>
      </c>
    </row>
    <row r="21" spans="1:6" x14ac:dyDescent="0.35">
      <c r="A21">
        <v>19</v>
      </c>
      <c r="B21" s="1">
        <f t="shared" si="0"/>
        <v>2.3687672314336967</v>
      </c>
      <c r="C21" s="2">
        <f t="shared" si="2"/>
        <v>0.10853879476105055</v>
      </c>
      <c r="D21" s="2">
        <f t="shared" si="1"/>
        <v>0.80292241047789892</v>
      </c>
      <c r="E21" s="2">
        <v>0.5</v>
      </c>
      <c r="F21" s="2">
        <v>0</v>
      </c>
    </row>
    <row r="22" spans="1:6" x14ac:dyDescent="0.35">
      <c r="A22">
        <v>20</v>
      </c>
      <c r="B22" s="1">
        <f t="shared" si="0"/>
        <v>2.4188620597849506</v>
      </c>
      <c r="C22" s="2">
        <f t="shared" si="2"/>
        <v>0.10018965670250823</v>
      </c>
      <c r="D22" s="2">
        <f t="shared" si="1"/>
        <v>0.81962068659498355</v>
      </c>
      <c r="E22" s="2">
        <v>0.5</v>
      </c>
      <c r="F22" s="2">
        <v>0</v>
      </c>
    </row>
    <row r="23" spans="1:6" x14ac:dyDescent="0.35">
      <c r="A23">
        <v>21</v>
      </c>
      <c r="B23" s="1">
        <f t="shared" si="0"/>
        <v>2.465103439801493</v>
      </c>
      <c r="C23" s="2">
        <f t="shared" si="2"/>
        <v>9.2482760033084532E-2</v>
      </c>
      <c r="D23" s="2">
        <f t="shared" si="1"/>
        <v>0.83503447993383095</v>
      </c>
      <c r="E23" s="2">
        <v>0.5</v>
      </c>
      <c r="F23" s="2">
        <v>0</v>
      </c>
    </row>
    <row r="24" spans="1:6" x14ac:dyDescent="0.35">
      <c r="A24">
        <v>22</v>
      </c>
      <c r="B24" s="1">
        <f t="shared" si="0"/>
        <v>2.5077877905859935</v>
      </c>
      <c r="C24" s="2">
        <f t="shared" ref="C24:C38" si="3">E24-I$3*I$4*(B24-I$5)</f>
        <v>8.5368701569001115E-2</v>
      </c>
      <c r="D24" s="2">
        <f t="shared" si="1"/>
        <v>0.84926259686199779</v>
      </c>
      <c r="E24" s="2">
        <v>0.5</v>
      </c>
      <c r="F24" s="2">
        <v>0</v>
      </c>
    </row>
    <row r="25" spans="1:6" x14ac:dyDescent="0.35">
      <c r="A25">
        <v>23</v>
      </c>
      <c r="B25" s="1">
        <f t="shared" si="0"/>
        <v>2.5471887297716864</v>
      </c>
      <c r="C25" s="2">
        <f t="shared" si="3"/>
        <v>7.8801878371385636E-2</v>
      </c>
      <c r="D25" s="2">
        <f t="shared" si="1"/>
        <v>0.86239624325722875</v>
      </c>
      <c r="E25" s="2">
        <v>0.5</v>
      </c>
      <c r="F25" s="2">
        <v>0</v>
      </c>
    </row>
    <row r="26" spans="1:6" x14ac:dyDescent="0.35">
      <c r="A26">
        <v>24</v>
      </c>
      <c r="B26" s="1">
        <f t="shared" si="0"/>
        <v>2.5835588274815566</v>
      </c>
      <c r="C26" s="2">
        <f t="shared" si="3"/>
        <v>7.2740195419740583E-2</v>
      </c>
      <c r="D26" s="2">
        <f t="shared" si="1"/>
        <v>0.87451960916051885</v>
      </c>
      <c r="E26" s="2">
        <v>0.5</v>
      </c>
      <c r="F26" s="2">
        <v>0</v>
      </c>
    </row>
    <row r="27" spans="1:6" x14ac:dyDescent="0.35">
      <c r="A27">
        <v>25</v>
      </c>
      <c r="B27" s="1">
        <f t="shared" si="0"/>
        <v>2.6171312253675909</v>
      </c>
      <c r="C27" s="2">
        <f t="shared" si="3"/>
        <v>6.7144795772068222E-2</v>
      </c>
      <c r="D27" s="2">
        <f t="shared" si="1"/>
        <v>0.88571040845586357</v>
      </c>
      <c r="E27" s="2">
        <v>0.5</v>
      </c>
      <c r="F27" s="2">
        <v>0</v>
      </c>
    </row>
    <row r="28" spans="1:6" x14ac:dyDescent="0.35">
      <c r="A28">
        <v>26</v>
      </c>
      <c r="B28" s="1">
        <f t="shared" si="0"/>
        <v>2.6481211311085455</v>
      </c>
      <c r="C28" s="2">
        <f t="shared" si="3"/>
        <v>6.1979811481909119E-2</v>
      </c>
      <c r="D28" s="2">
        <f t="shared" si="1"/>
        <v>0.89604037703618178</v>
      </c>
      <c r="E28" s="2">
        <v>0.5</v>
      </c>
      <c r="F28" s="2">
        <v>0</v>
      </c>
    </row>
    <row r="29" spans="1:6" x14ac:dyDescent="0.35">
      <c r="A29">
        <v>27</v>
      </c>
      <c r="B29" s="1">
        <f t="shared" si="0"/>
        <v>2.6767271979463496</v>
      </c>
      <c r="C29" s="2">
        <f t="shared" si="3"/>
        <v>5.7212133675608401E-2</v>
      </c>
      <c r="D29" s="2">
        <f t="shared" si="1"/>
        <v>0.90557573264878322</v>
      </c>
      <c r="E29" s="2">
        <v>0.5</v>
      </c>
      <c r="F29" s="2">
        <v>0</v>
      </c>
    </row>
    <row r="30" spans="1:6" x14ac:dyDescent="0.35">
      <c r="A30">
        <v>28</v>
      </c>
      <c r="B30" s="1">
        <f t="shared" si="0"/>
        <v>2.7031327981043227</v>
      </c>
      <c r="C30" s="2">
        <f t="shared" si="3"/>
        <v>5.2811200315946216E-2</v>
      </c>
      <c r="D30" s="2">
        <f t="shared" si="1"/>
        <v>0.91437759936810759</v>
      </c>
      <c r="E30" s="2">
        <v>0.5</v>
      </c>
      <c r="F30" s="2">
        <v>0</v>
      </c>
    </row>
    <row r="31" spans="1:6" x14ac:dyDescent="0.35">
      <c r="A31">
        <v>29</v>
      </c>
      <c r="B31" s="1">
        <f t="shared" si="0"/>
        <v>2.727507198250144</v>
      </c>
      <c r="C31" s="2">
        <f t="shared" si="3"/>
        <v>4.8748800291642691E-2</v>
      </c>
      <c r="D31" s="2">
        <f t="shared" si="1"/>
        <v>0.92250239941671464</v>
      </c>
      <c r="E31" s="2">
        <v>0.5</v>
      </c>
      <c r="F31" s="2">
        <v>0</v>
      </c>
    </row>
    <row r="32" spans="1:6" x14ac:dyDescent="0.35">
      <c r="A32">
        <v>30</v>
      </c>
      <c r="B32" s="1">
        <f t="shared" si="0"/>
        <v>2.7500066445385944</v>
      </c>
      <c r="C32" s="2">
        <f t="shared" si="3"/>
        <v>4.4998892576900928E-2</v>
      </c>
      <c r="D32" s="2">
        <f t="shared" si="1"/>
        <v>0.93000221484619816</v>
      </c>
      <c r="E32" s="2">
        <v>0.5</v>
      </c>
      <c r="F32" s="2">
        <v>0</v>
      </c>
    </row>
    <row r="33" spans="1:6" x14ac:dyDescent="0.35">
      <c r="A33">
        <v>31</v>
      </c>
      <c r="B33" s="1">
        <f t="shared" si="0"/>
        <v>2.7707753641894719</v>
      </c>
      <c r="C33" s="2">
        <f t="shared" si="3"/>
        <v>4.1537439301754686E-2</v>
      </c>
      <c r="D33" s="2">
        <f t="shared" si="1"/>
        <v>0.93692512139649065</v>
      </c>
      <c r="E33" s="2">
        <v>0.5</v>
      </c>
      <c r="F33" s="2">
        <v>0</v>
      </c>
    </row>
    <row r="34" spans="1:6" x14ac:dyDescent="0.35">
      <c r="A34">
        <v>32</v>
      </c>
      <c r="B34" s="1">
        <f t="shared" si="0"/>
        <v>2.7899464900210509</v>
      </c>
      <c r="C34" s="2">
        <f t="shared" si="3"/>
        <v>3.8342251663158189E-2</v>
      </c>
      <c r="D34" s="2">
        <f t="shared" si="1"/>
        <v>0.94331549667368364</v>
      </c>
      <c r="E34" s="2">
        <v>0.5</v>
      </c>
      <c r="F34" s="2">
        <v>0</v>
      </c>
    </row>
    <row r="35" spans="1:6" x14ac:dyDescent="0.35">
      <c r="A35">
        <v>33</v>
      </c>
      <c r="B35" s="1">
        <f t="shared" si="0"/>
        <v>2.8076429138655854</v>
      </c>
      <c r="C35" s="2">
        <f t="shared" si="3"/>
        <v>3.539284768906914E-2</v>
      </c>
      <c r="D35" s="2">
        <f t="shared" si="1"/>
        <v>0.94921430462186174</v>
      </c>
      <c r="E35" s="2">
        <v>0.5</v>
      </c>
      <c r="F35" s="2">
        <v>0</v>
      </c>
    </row>
    <row r="36" spans="1:6" x14ac:dyDescent="0.35">
      <c r="A36">
        <v>34</v>
      </c>
      <c r="B36" s="1">
        <f t="shared" si="0"/>
        <v>2.8239780743374636</v>
      </c>
      <c r="C36" s="2">
        <f t="shared" si="3"/>
        <v>3.2670320943756104E-2</v>
      </c>
      <c r="D36" s="2">
        <f t="shared" si="1"/>
        <v>0.95465935811248781</v>
      </c>
      <c r="E36" s="2">
        <v>0.5</v>
      </c>
      <c r="F36" s="2">
        <v>0</v>
      </c>
    </row>
    <row r="37" spans="1:6" x14ac:dyDescent="0.35">
      <c r="A37">
        <v>35</v>
      </c>
      <c r="B37" s="1">
        <f t="shared" si="0"/>
        <v>2.8390566840038125</v>
      </c>
      <c r="C37" s="2">
        <f t="shared" si="3"/>
        <v>3.0157219332697938E-2</v>
      </c>
      <c r="D37" s="2">
        <f t="shared" si="1"/>
        <v>0.95968556133460414</v>
      </c>
      <c r="E37" s="2">
        <v>0.5</v>
      </c>
      <c r="F37" s="2">
        <v>0</v>
      </c>
    </row>
    <row r="38" spans="1:6" x14ac:dyDescent="0.35">
      <c r="A38">
        <v>36</v>
      </c>
      <c r="B38" s="1">
        <f t="shared" si="0"/>
        <v>2.8529754006189041</v>
      </c>
      <c r="C38" s="2">
        <f t="shared" si="3"/>
        <v>2.7837433230182673E-2</v>
      </c>
      <c r="D38" s="2">
        <f t="shared" si="1"/>
        <v>0.96432513353963467</v>
      </c>
      <c r="E38" s="2">
        <v>0.5</v>
      </c>
      <c r="F38" s="2">
        <v>0</v>
      </c>
    </row>
    <row r="39" spans="1:6" x14ac:dyDescent="0.35">
      <c r="A39">
        <v>37</v>
      </c>
      <c r="B39" s="1">
        <f t="shared" si="0"/>
        <v>2.8658234467251424</v>
      </c>
      <c r="C39" s="2">
        <f t="shared" ref="C39:C47" si="4">E39-I$3*I$4*(B39-I$5)</f>
        <v>2.5696092212476263E-2</v>
      </c>
      <c r="D39" s="2">
        <f t="shared" si="1"/>
        <v>0.96860781557504749</v>
      </c>
      <c r="E39" s="2">
        <v>0.5</v>
      </c>
      <c r="F39" s="2">
        <v>0</v>
      </c>
    </row>
    <row r="40" spans="1:6" x14ac:dyDescent="0.35">
      <c r="A40">
        <v>38</v>
      </c>
      <c r="B40" s="1">
        <f t="shared" si="0"/>
        <v>2.8776831815924391</v>
      </c>
      <c r="C40" s="2">
        <f t="shared" si="4"/>
        <v>2.371946973459349E-2</v>
      </c>
      <c r="D40" s="2">
        <f t="shared" si="1"/>
        <v>0.97256106053081304</v>
      </c>
      <c r="E40" s="2">
        <v>0.5</v>
      </c>
      <c r="F40" s="2">
        <v>0</v>
      </c>
    </row>
    <row r="41" spans="1:6" x14ac:dyDescent="0.35">
      <c r="A41">
        <v>39</v>
      </c>
      <c r="B41" s="1">
        <f t="shared" si="0"/>
        <v>2.8886306291622517</v>
      </c>
      <c r="C41" s="2">
        <f t="shared" si="4"/>
        <v>2.1894895139624726E-2</v>
      </c>
      <c r="D41" s="2">
        <f t="shared" si="1"/>
        <v>0.97621020972075057</v>
      </c>
      <c r="E41" s="2">
        <v>0.5</v>
      </c>
      <c r="F41" s="2">
        <v>0</v>
      </c>
    </row>
    <row r="42" spans="1:6" x14ac:dyDescent="0.35">
      <c r="A42">
        <v>40</v>
      </c>
      <c r="B42" s="1">
        <f t="shared" si="0"/>
        <v>2.8987359653805402</v>
      </c>
      <c r="C42" s="2">
        <f t="shared" si="4"/>
        <v>2.0210672436576649E-2</v>
      </c>
      <c r="D42" s="2">
        <f t="shared" si="1"/>
        <v>0.97957865512684672</v>
      </c>
      <c r="E42" s="2">
        <v>0.5</v>
      </c>
      <c r="F42" s="2">
        <v>0</v>
      </c>
    </row>
    <row r="43" spans="1:6" x14ac:dyDescent="0.35">
      <c r="A43">
        <v>41</v>
      </c>
      <c r="B43" s="1">
        <f t="shared" si="0"/>
        <v>2.9080639680435758</v>
      </c>
      <c r="C43" s="2">
        <f t="shared" si="4"/>
        <v>1.8656005326070701E-2</v>
      </c>
      <c r="D43" s="2">
        <f t="shared" si="1"/>
        <v>0.98268798934785861</v>
      </c>
      <c r="E43" s="2">
        <v>0.5</v>
      </c>
      <c r="F43" s="2">
        <v>0</v>
      </c>
    </row>
    <row r="44" spans="1:6" x14ac:dyDescent="0.35">
      <c r="A44">
        <v>42</v>
      </c>
      <c r="B44" s="1">
        <f t="shared" si="0"/>
        <v>2.916674432040224</v>
      </c>
      <c r="C44" s="2">
        <f t="shared" si="4"/>
        <v>1.7220927993295998E-2</v>
      </c>
      <c r="D44" s="2">
        <f t="shared" si="1"/>
        <v>0.98555814401340802</v>
      </c>
      <c r="E44" s="2">
        <v>0.5</v>
      </c>
      <c r="F44" s="2">
        <v>0</v>
      </c>
    </row>
    <row r="45" spans="1:6" x14ac:dyDescent="0.35">
      <c r="A45">
        <v>43</v>
      </c>
      <c r="B45" s="1">
        <f t="shared" si="0"/>
        <v>2.9246225526525147</v>
      </c>
      <c r="C45" s="2">
        <f t="shared" si="4"/>
        <v>1.5896241224580887E-2</v>
      </c>
      <c r="D45" s="2">
        <f t="shared" si="1"/>
        <v>0.98820751755083824</v>
      </c>
      <c r="E45" s="2">
        <v>0.5</v>
      </c>
      <c r="F45" s="2">
        <v>0</v>
      </c>
    </row>
    <row r="46" spans="1:6" x14ac:dyDescent="0.35">
      <c r="A46">
        <v>44</v>
      </c>
      <c r="B46" s="1">
        <f t="shared" si="0"/>
        <v>2.9319592793715521</v>
      </c>
      <c r="C46" s="2">
        <f t="shared" si="4"/>
        <v>1.4673453438074691E-2</v>
      </c>
      <c r="D46" s="2">
        <f t="shared" si="1"/>
        <v>0.99065309312385064</v>
      </c>
      <c r="E46" s="2">
        <v>0.5</v>
      </c>
      <c r="F46" s="2">
        <v>0</v>
      </c>
    </row>
    <row r="47" spans="1:6" x14ac:dyDescent="0.35">
      <c r="A47">
        <v>45</v>
      </c>
      <c r="B47" s="1">
        <f t="shared" si="0"/>
        <v>2.9387316424968173</v>
      </c>
      <c r="C47" s="2">
        <f t="shared" si="4"/>
        <v>1.3544726250530492E-2</v>
      </c>
      <c r="D47" s="2">
        <f t="shared" si="1"/>
        <v>0.99291054749893903</v>
      </c>
      <c r="E47" s="2">
        <v>0.5</v>
      </c>
      <c r="F47" s="2">
        <v>0</v>
      </c>
    </row>
    <row r="48" spans="1:6" x14ac:dyDescent="0.35">
      <c r="A48">
        <v>46</v>
      </c>
      <c r="B48" s="1">
        <f t="shared" si="0"/>
        <v>2.9449830546124467</v>
      </c>
      <c r="C48" s="2">
        <f t="shared" ref="C48:C52" si="5">E48-I$3*I$4*(B48-I$5)</f>
        <v>1.2502824231258924E-2</v>
      </c>
      <c r="D48" s="2">
        <f t="shared" si="1"/>
        <v>0.99499435153748217</v>
      </c>
      <c r="E48" s="2">
        <v>0.5</v>
      </c>
      <c r="F48" s="2">
        <v>0</v>
      </c>
    </row>
    <row r="49" spans="1:6" x14ac:dyDescent="0.35">
      <c r="A49">
        <v>47</v>
      </c>
      <c r="B49" s="1">
        <f t="shared" si="0"/>
        <v>2.9507535888730279</v>
      </c>
      <c r="C49" s="2">
        <f t="shared" si="5"/>
        <v>1.1541068521162046E-2</v>
      </c>
      <c r="D49" s="2">
        <f t="shared" si="1"/>
        <v>0.99691786295767593</v>
      </c>
      <c r="E49" s="2">
        <v>0.5</v>
      </c>
      <c r="F49" s="2">
        <v>0</v>
      </c>
    </row>
    <row r="50" spans="1:6" x14ac:dyDescent="0.35">
      <c r="A50">
        <v>48</v>
      </c>
      <c r="B50" s="1">
        <f t="shared" si="0"/>
        <v>2.9560802358827951</v>
      </c>
      <c r="C50" s="2">
        <f t="shared" si="5"/>
        <v>1.0653294019534187E-2</v>
      </c>
      <c r="D50" s="2">
        <f t="shared" si="1"/>
        <v>0.99869341196093164</v>
      </c>
      <c r="E50" s="2">
        <v>0.5</v>
      </c>
      <c r="F50" s="2">
        <v>0</v>
      </c>
    </row>
    <row r="51" spans="1:6" x14ac:dyDescent="0.35">
      <c r="A51">
        <v>49</v>
      </c>
      <c r="B51" s="1">
        <f t="shared" si="0"/>
        <v>2.9609971408148876</v>
      </c>
      <c r="C51" s="2">
        <f t="shared" si="5"/>
        <v>9.8338098641854166E-3</v>
      </c>
      <c r="D51" s="2">
        <f t="shared" si="1"/>
        <v>1.0003323802716291</v>
      </c>
      <c r="E51" s="2">
        <v>0.5</v>
      </c>
      <c r="F51" s="2">
        <v>0</v>
      </c>
    </row>
    <row r="52" spans="1:6" x14ac:dyDescent="0.35">
      <c r="A52">
        <v>50</v>
      </c>
      <c r="B52" s="1">
        <f t="shared" si="0"/>
        <v>2.9655358222906654</v>
      </c>
      <c r="C52" s="2">
        <f t="shared" si="5"/>
        <v>9.0773629515558119E-3</v>
      </c>
      <c r="D52" s="2">
        <f t="shared" si="1"/>
        <v>1.0018452740968884</v>
      </c>
      <c r="E52" s="2">
        <v>0.5</v>
      </c>
      <c r="F52" s="2">
        <v>0</v>
      </c>
    </row>
    <row r="53" spans="1:6" x14ac:dyDescent="0.35">
      <c r="A53">
        <v>51</v>
      </c>
      <c r="B53" s="1">
        <f t="shared" ref="B53:B62" si="6">(B52+I$2*(E53+I$3*I$4*I$5)+F53)/(1+I$2*I$3*I$4)</f>
        <v>2.9697253744221528</v>
      </c>
      <c r="C53" s="2">
        <f t="shared" ref="C53:C62" si="7">E53-I$3*I$4*(B53-I$5)</f>
        <v>8.3791042629745571E-3</v>
      </c>
      <c r="D53" s="2">
        <f t="shared" si="1"/>
        <v>1.0032417914740508</v>
      </c>
      <c r="E53" s="2">
        <v>0.5</v>
      </c>
      <c r="F53" s="2">
        <v>0</v>
      </c>
    </row>
    <row r="54" spans="1:6" x14ac:dyDescent="0.35">
      <c r="A54">
        <v>52</v>
      </c>
      <c r="B54" s="1">
        <f t="shared" si="6"/>
        <v>2.9735926533127564</v>
      </c>
      <c r="C54" s="2">
        <f t="shared" si="7"/>
        <v>7.7345577812072963E-3</v>
      </c>
      <c r="D54" s="2">
        <f t="shared" si="1"/>
        <v>1.0045308844375853</v>
      </c>
      <c r="E54" s="2">
        <v>0.5</v>
      </c>
      <c r="F54" s="2">
        <v>0</v>
      </c>
    </row>
    <row r="55" spans="1:6" x14ac:dyDescent="0.35">
      <c r="A55">
        <v>53</v>
      </c>
      <c r="B55" s="1">
        <f t="shared" si="6"/>
        <v>2.9771624492117752</v>
      </c>
      <c r="C55" s="2">
        <f t="shared" si="7"/>
        <v>7.1395917980374701E-3</v>
      </c>
      <c r="D55" s="2">
        <f t="shared" si="1"/>
        <v>1.0057208164039251</v>
      </c>
      <c r="E55" s="2">
        <v>0.5</v>
      </c>
      <c r="F55" s="2">
        <v>0</v>
      </c>
    </row>
    <row r="56" spans="1:6" x14ac:dyDescent="0.35">
      <c r="A56">
        <v>54</v>
      </c>
      <c r="B56" s="1">
        <f t="shared" si="6"/>
        <v>2.9804576454262541</v>
      </c>
      <c r="C56" s="2">
        <f t="shared" si="7"/>
        <v>6.5903924289576477E-3</v>
      </c>
      <c r="D56" s="2">
        <f t="shared" si="1"/>
        <v>1.0068192151420847</v>
      </c>
      <c r="E56" s="2">
        <v>0.5</v>
      </c>
      <c r="F56" s="2">
        <v>0</v>
      </c>
    </row>
    <row r="57" spans="1:6" x14ac:dyDescent="0.35">
      <c r="A57">
        <v>55</v>
      </c>
      <c r="B57" s="1">
        <f t="shared" si="6"/>
        <v>2.9834993650088499</v>
      </c>
      <c r="C57" s="2">
        <f t="shared" si="7"/>
        <v>6.0834391651917175E-3</v>
      </c>
      <c r="D57" s="2">
        <f t="shared" si="1"/>
        <v>1.0078331216696166</v>
      </c>
      <c r="E57" s="2">
        <v>0.5</v>
      </c>
      <c r="F57" s="2">
        <v>0</v>
      </c>
    </row>
    <row r="58" spans="1:6" x14ac:dyDescent="0.35">
      <c r="A58">
        <v>56</v>
      </c>
      <c r="B58" s="1">
        <f t="shared" si="6"/>
        <v>2.9863071061620152</v>
      </c>
      <c r="C58" s="2">
        <f t="shared" si="7"/>
        <v>5.615482306330799E-3</v>
      </c>
      <c r="D58" s="2">
        <f t="shared" si="1"/>
        <v>1.0087690353873384</v>
      </c>
      <c r="E58" s="2">
        <v>0.5</v>
      </c>
      <c r="F58" s="2">
        <v>0</v>
      </c>
    </row>
    <row r="59" spans="1:6" x14ac:dyDescent="0.35">
      <c r="A59">
        <v>57</v>
      </c>
      <c r="B59" s="1">
        <f t="shared" si="6"/>
        <v>2.9888988672264758</v>
      </c>
      <c r="C59" s="2">
        <f t="shared" si="7"/>
        <v>5.1835221289207034E-3</v>
      </c>
      <c r="D59" s="2">
        <f t="shared" si="1"/>
        <v>1.0096329557421586</v>
      </c>
      <c r="E59" s="2">
        <v>0.5</v>
      </c>
      <c r="F59" s="2">
        <v>0</v>
      </c>
    </row>
    <row r="60" spans="1:6" x14ac:dyDescent="0.35">
      <c r="A60">
        <v>58</v>
      </c>
      <c r="B60" s="1">
        <f t="shared" si="6"/>
        <v>2.9912912620552086</v>
      </c>
      <c r="C60" s="2">
        <f t="shared" si="7"/>
        <v>4.7847896574652604E-3</v>
      </c>
      <c r="D60" s="2">
        <f t="shared" si="1"/>
        <v>1.0104304206850694</v>
      </c>
      <c r="E60" s="2">
        <v>0.5</v>
      </c>
      <c r="F60" s="2">
        <v>0</v>
      </c>
    </row>
    <row r="61" spans="1:6" x14ac:dyDescent="0.35">
      <c r="A61">
        <v>59</v>
      </c>
      <c r="B61" s="1">
        <f t="shared" si="6"/>
        <v>2.9934996265125005</v>
      </c>
      <c r="C61" s="2">
        <f t="shared" si="7"/>
        <v>4.4167289145832789E-3</v>
      </c>
      <c r="D61" s="2">
        <f t="shared" si="1"/>
        <v>1.0111665421708333</v>
      </c>
      <c r="E61" s="2">
        <v>0.5</v>
      </c>
      <c r="F61" s="2">
        <v>0</v>
      </c>
    </row>
    <row r="62" spans="1:6" x14ac:dyDescent="0.35">
      <c r="A62">
        <v>60</v>
      </c>
      <c r="B62" s="1">
        <f t="shared" si="6"/>
        <v>2.9955381167807698</v>
      </c>
      <c r="C62" s="2">
        <f t="shared" si="7"/>
        <v>4.0769805365383771E-3</v>
      </c>
      <c r="D62" s="2">
        <f t="shared" si="1"/>
        <v>1.0118460389269233</v>
      </c>
      <c r="E62" s="2">
        <v>0.5</v>
      </c>
      <c r="F62" s="2"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2025-04-10T04:23:32Z</dcterms:created>
  <dcterms:modified xsi:type="dcterms:W3CDTF">2025-04-16T03:16:40Z</dcterms:modified>
</cp:coreProperties>
</file>