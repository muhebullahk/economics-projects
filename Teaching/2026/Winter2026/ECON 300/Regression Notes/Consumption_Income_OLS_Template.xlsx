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Volumes/MK1/Google Drive/Teaching 2026/Winter 2026/ECON 300/Regression Notes/"/>
    </mc:Choice>
  </mc:AlternateContent>
  <xr:revisionPtr revIDLastSave="0" documentId="13_ncr:1_{E5365A1A-F113-F74C-B608-03496F1DBF3A}" xr6:coauthVersionLast="47" xr6:coauthVersionMax="47" xr10:uidLastSave="{00000000-0000-0000-0000-000000000000}"/>
  <bookViews>
    <workbookView xWindow="0" yWindow="500" windowWidth="28800" windowHeight="17500" activeTab="1" xr2:uid="{00000000-000D-0000-FFFF-FFFF00000000}"/>
  </bookViews>
  <sheets>
    <sheet name="Sheet1" sheetId="2" r:id="rId1"/>
    <sheet name="Data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2" i="1"/>
  <c r="C3" i="1"/>
  <c r="C4" i="1"/>
  <c r="C5" i="1"/>
  <c r="C6" i="1"/>
  <c r="C7" i="1"/>
  <c r="C8" i="1"/>
  <c r="C9" i="1"/>
  <c r="C2" i="1"/>
</calcChain>
</file>

<file path=xl/sharedStrings.xml><?xml version="1.0" encoding="utf-8"?>
<sst xmlns="http://schemas.openxmlformats.org/spreadsheetml/2006/main" count="36" uniqueCount="33">
  <si>
    <t>Income (Y)</t>
  </si>
  <si>
    <t>Consumption (C)</t>
  </si>
  <si>
    <t>Predicted Consumption</t>
  </si>
  <si>
    <t>Residual</t>
  </si>
  <si>
    <t>Regression Coefficients</t>
  </si>
  <si>
    <t>Intercept (β0)</t>
  </si>
  <si>
    <t>Slope / MPC (β1)</t>
  </si>
  <si>
    <t>Enter coefficients from Excel Regression Tool</t>
  </si>
  <si>
    <t>Predicted C = β0 + β1 * Income</t>
  </si>
  <si>
    <t>Residual = Actual C - Predicted C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</si>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</sst>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Continuous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Consumption (C)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Data!$A$2:$A$9</c:f>
              <c:numCache>
                <c:formatCode>General</c:formatCode>
                <c:ptCount val="8"/>
                <c:pt idx="0">
                  <c:v>20</c:v>
                </c:pt>
                <c:pt idx="1">
                  <c:v>25</c:v>
                </c:pt>
                <c:pt idx="2">
                  <c:v>30</c:v>
                </c:pt>
                <c:pt idx="3">
                  <c:v>35</c:v>
                </c:pt>
                <c:pt idx="4">
                  <c:v>40</c:v>
                </c:pt>
                <c:pt idx="5">
                  <c:v>45</c:v>
                </c:pt>
                <c:pt idx="6">
                  <c:v>50</c:v>
                </c:pt>
                <c:pt idx="7">
                  <c:v>55</c:v>
                </c:pt>
              </c:numCache>
            </c:numRef>
          </c:xVal>
          <c:yVal>
            <c:numRef>
              <c:f>Data!$B$2:$B$9</c:f>
              <c:numCache>
                <c:formatCode>General</c:formatCode>
                <c:ptCount val="8"/>
                <c:pt idx="0">
                  <c:v>18</c:v>
                </c:pt>
                <c:pt idx="1">
                  <c:v>21</c:v>
                </c:pt>
                <c:pt idx="2">
                  <c:v>24</c:v>
                </c:pt>
                <c:pt idx="3">
                  <c:v>27</c:v>
                </c:pt>
                <c:pt idx="4">
                  <c:v>30</c:v>
                </c:pt>
                <c:pt idx="5">
                  <c:v>33</c:v>
                </c:pt>
                <c:pt idx="6">
                  <c:v>36</c:v>
                </c:pt>
                <c:pt idx="7">
                  <c:v>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FF-9243-ACF1-B315176E83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3316992"/>
        <c:axId val="383318704"/>
      </c:scatterChart>
      <c:valAx>
        <c:axId val="383316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318704"/>
        <c:crosses val="autoZero"/>
        <c:crossBetween val="midCat"/>
      </c:valAx>
      <c:valAx>
        <c:axId val="383318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316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463314</xdr:colOff>
      <xdr:row>8</xdr:row>
      <xdr:rowOff>145345</xdr:rowOff>
    </xdr:from>
    <xdr:to>
      <xdr:col>8</xdr:col>
      <xdr:colOff>171684</xdr:colOff>
      <xdr:row>22</xdr:row>
      <xdr:rowOff>169804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A6532B-7876-C7FB-A179-6FBA571B74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53D1D-1FF2-4B4E-9E10-06CA252F1419}">
  <dimension ref="A1"/>
  <sheetViews>
    <sheetView zoomScale="160" zoomScaleNormal="160" workbookViewId="0">
      <selection sqref="A1:J21"/>
    </sheetView>
  </sheetViews>
  <sheetFormatPr baseColWidth="10" defaultRowHeight="15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zoomScale="270" zoomScaleNormal="270" workbookViewId="0">
      <selection sqref="A1:B9"/>
    </sheetView>
  </sheetViews>
  <sheetFormatPr baseColWidth="10" defaultColWidth="8.83203125" defaultRowHeight="15" x14ac:dyDescent="0.2"/>
  <cols>
    <col min="1" max="1" width="10.33203125" customWidth="1"/>
    <col min="2" max="2" width="14.5" customWidth="1"/>
    <col min="3" max="3" width="19.66406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F1" t="s">
        <v>4</v>
      </c>
    </row>
    <row r="2" spans="1:8" x14ac:dyDescent="0.2">
      <c r="A2">
        <v>20</v>
      </c>
      <c r="B2">
        <v>18</v>
      </c>
      <c r="C2" s="5">
        <f>H$3+H$4*A2</f>
        <v>18.166666666666671</v>
      </c>
      <c r="D2" s="5">
        <f>B2-C2</f>
        <v>-0.1666666666666714</v>
      </c>
    </row>
    <row r="3" spans="1:8" x14ac:dyDescent="0.2">
      <c r="A3">
        <v>25</v>
      </c>
      <c r="B3">
        <v>21</v>
      </c>
      <c r="C3" s="5">
        <f t="shared" ref="C3:C9" si="0">H$3+H$4*A3</f>
        <v>21.083333333333336</v>
      </c>
      <c r="D3" s="5">
        <f t="shared" ref="D3:D9" si="1">B3-C3</f>
        <v>-8.3333333333335702E-2</v>
      </c>
      <c r="F3" t="s">
        <v>5</v>
      </c>
      <c r="H3" s="1">
        <v>6.5000000000000071</v>
      </c>
    </row>
    <row r="4" spans="1:8" ht="16" thickBot="1" x14ac:dyDescent="0.25">
      <c r="A4">
        <v>30</v>
      </c>
      <c r="B4">
        <v>24</v>
      </c>
      <c r="C4" s="5">
        <f t="shared" si="0"/>
        <v>24</v>
      </c>
      <c r="D4" s="5">
        <f t="shared" si="1"/>
        <v>0</v>
      </c>
      <c r="F4" t="s">
        <v>6</v>
      </c>
      <c r="H4" s="2">
        <v>0.58333333333333315</v>
      </c>
    </row>
    <row r="5" spans="1:8" x14ac:dyDescent="0.2">
      <c r="A5">
        <v>35</v>
      </c>
      <c r="B5">
        <v>27</v>
      </c>
      <c r="C5" s="5">
        <f t="shared" si="0"/>
        <v>26.916666666666668</v>
      </c>
      <c r="D5" s="5">
        <f t="shared" si="1"/>
        <v>8.3333333333332149E-2</v>
      </c>
    </row>
    <row r="6" spans="1:8" x14ac:dyDescent="0.2">
      <c r="A6">
        <v>40</v>
      </c>
      <c r="B6">
        <v>30</v>
      </c>
      <c r="C6" s="5">
        <f t="shared" si="0"/>
        <v>29.833333333333332</v>
      </c>
      <c r="D6" s="5">
        <f t="shared" si="1"/>
        <v>0.16666666666666785</v>
      </c>
      <c r="F6" t="s">
        <v>7</v>
      </c>
    </row>
    <row r="7" spans="1:8" x14ac:dyDescent="0.2">
      <c r="A7">
        <v>45</v>
      </c>
      <c r="B7">
        <v>33</v>
      </c>
      <c r="C7" s="5">
        <f t="shared" si="0"/>
        <v>32.75</v>
      </c>
      <c r="D7" s="5">
        <f t="shared" si="1"/>
        <v>0.25</v>
      </c>
      <c r="F7" t="s">
        <v>8</v>
      </c>
    </row>
    <row r="8" spans="1:8" x14ac:dyDescent="0.2">
      <c r="A8">
        <v>50</v>
      </c>
      <c r="B8">
        <v>36</v>
      </c>
      <c r="C8" s="5">
        <f t="shared" si="0"/>
        <v>35.666666666666664</v>
      </c>
      <c r="D8" s="5">
        <f t="shared" si="1"/>
        <v>0.3333333333333357</v>
      </c>
      <c r="F8" t="s">
        <v>9</v>
      </c>
    </row>
    <row r="9" spans="1:8" x14ac:dyDescent="0.2">
      <c r="A9">
        <v>55</v>
      </c>
      <c r="B9">
        <v>38</v>
      </c>
      <c r="C9" s="5">
        <f t="shared" si="0"/>
        <v>38.583333333333329</v>
      </c>
      <c r="D9" s="5">
        <f t="shared" si="1"/>
        <v>-0.5833333333333286</v>
      </c>
    </row>
    <row r="15" spans="1:8" x14ac:dyDescent="0.2">
      <c r="A15" t="s">
        <v>10</v>
      </c>
    </row>
    <row r="16" spans="1:8" ht="16" thickBot="1" x14ac:dyDescent="0.25"/>
    <row r="17" spans="1:9" x14ac:dyDescent="0.2">
      <c r="A17" s="4" t="s">
        <v>11</v>
      </c>
      <c r="B17" s="4"/>
    </row>
    <row r="18" spans="1:9" x14ac:dyDescent="0.2">
      <c r="A18" s="1" t="s">
        <v>12</v>
      </c>
      <c r="B18" s="1">
        <v>0.99918467169485714</v>
      </c>
    </row>
    <row r="19" spans="1:9" x14ac:dyDescent="0.2">
      <c r="A19" s="1" t="s">
        <v>13</v>
      </c>
      <c r="B19" s="1">
        <v>0.99837000814995935</v>
      </c>
    </row>
    <row r="20" spans="1:9" x14ac:dyDescent="0.2">
      <c r="A20" s="1" t="s">
        <v>14</v>
      </c>
      <c r="B20" s="1">
        <v>0.99809834284161925</v>
      </c>
    </row>
    <row r="21" spans="1:9" x14ac:dyDescent="0.2">
      <c r="A21" s="1" t="s">
        <v>15</v>
      </c>
      <c r="B21" s="1">
        <v>0.31180478223116209</v>
      </c>
    </row>
    <row r="22" spans="1:9" ht="16" thickBot="1" x14ac:dyDescent="0.25">
      <c r="A22" s="2" t="s">
        <v>16</v>
      </c>
      <c r="B22" s="2">
        <v>8</v>
      </c>
    </row>
    <row r="24" spans="1:9" ht="16" thickBot="1" x14ac:dyDescent="0.25">
      <c r="A24" t="s">
        <v>17</v>
      </c>
    </row>
    <row r="25" spans="1:9" x14ac:dyDescent="0.2">
      <c r="A25" s="3"/>
      <c r="B25" s="3" t="s">
        <v>21</v>
      </c>
      <c r="C25" s="3" t="s">
        <v>22</v>
      </c>
      <c r="D25" s="3" t="s">
        <v>23</v>
      </c>
      <c r="E25" s="3" t="s">
        <v>24</v>
      </c>
      <c r="F25" s="3" t="s">
        <v>25</v>
      </c>
    </row>
    <row r="26" spans="1:9" x14ac:dyDescent="0.2">
      <c r="A26" s="1" t="s">
        <v>18</v>
      </c>
      <c r="B26" s="1">
        <v>1</v>
      </c>
      <c r="C26" s="1">
        <v>357.29166666666669</v>
      </c>
      <c r="D26" s="1">
        <v>357.29166666666669</v>
      </c>
      <c r="E26" s="1">
        <v>3674.9999999999923</v>
      </c>
      <c r="F26" s="1">
        <v>1.3541661710644826E-9</v>
      </c>
    </row>
    <row r="27" spans="1:9" x14ac:dyDescent="0.2">
      <c r="A27" s="1" t="s">
        <v>3</v>
      </c>
      <c r="B27" s="1">
        <v>6</v>
      </c>
      <c r="C27" s="1">
        <v>0.58333333333333459</v>
      </c>
      <c r="D27" s="1">
        <v>9.7222222222222432E-2</v>
      </c>
      <c r="E27" s="1"/>
      <c r="F27" s="1"/>
    </row>
    <row r="28" spans="1:9" ht="16" thickBot="1" x14ac:dyDescent="0.25">
      <c r="A28" s="2" t="s">
        <v>19</v>
      </c>
      <c r="B28" s="2">
        <v>7</v>
      </c>
      <c r="C28" s="2">
        <v>357.875</v>
      </c>
      <c r="D28" s="2"/>
      <c r="E28" s="2"/>
      <c r="F28" s="2"/>
    </row>
    <row r="29" spans="1:9" ht="16" thickBot="1" x14ac:dyDescent="0.25"/>
    <row r="30" spans="1:9" x14ac:dyDescent="0.2">
      <c r="A30" s="3"/>
      <c r="B30" s="3" t="s">
        <v>26</v>
      </c>
      <c r="C30" s="3" t="s">
        <v>15</v>
      </c>
      <c r="D30" s="3" t="s">
        <v>27</v>
      </c>
      <c r="E30" s="3" t="s">
        <v>28</v>
      </c>
      <c r="F30" s="3" t="s">
        <v>29</v>
      </c>
      <c r="G30" s="3" t="s">
        <v>30</v>
      </c>
      <c r="H30" s="3" t="s">
        <v>31</v>
      </c>
      <c r="I30" s="3" t="s">
        <v>32</v>
      </c>
    </row>
    <row r="31" spans="1:9" x14ac:dyDescent="0.2">
      <c r="A31" s="1" t="s">
        <v>20</v>
      </c>
      <c r="B31" s="1">
        <v>6.5000000000000071</v>
      </c>
      <c r="C31" s="1">
        <v>0.37730771408905944</v>
      </c>
      <c r="D31" s="1">
        <v>17.227318067676062</v>
      </c>
      <c r="E31" s="1">
        <v>2.4500452418739571E-6</v>
      </c>
      <c r="F31" s="1">
        <v>5.5767612828670696</v>
      </c>
      <c r="G31" s="1">
        <v>7.4232387171329446</v>
      </c>
      <c r="H31" s="1">
        <v>5.5767612828670696</v>
      </c>
      <c r="I31" s="1">
        <v>7.4232387171329446</v>
      </c>
    </row>
    <row r="32" spans="1:9" ht="16" thickBot="1" x14ac:dyDescent="0.25">
      <c r="A32" s="2" t="s">
        <v>0</v>
      </c>
      <c r="B32" s="2">
        <v>0.58333333333333315</v>
      </c>
      <c r="C32" s="2">
        <v>9.6225044864937746E-3</v>
      </c>
      <c r="D32" s="2">
        <v>60.62177826491061</v>
      </c>
      <c r="E32" s="2">
        <v>1.3541661710644873E-9</v>
      </c>
      <c r="F32" s="2">
        <v>0.55978791306763587</v>
      </c>
      <c r="G32" s="2">
        <v>0.60687875359903043</v>
      </c>
      <c r="H32" s="2">
        <v>0.55978791306763587</v>
      </c>
      <c r="I32" s="2">
        <v>0.60687875359903043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Muhebullah Karimzada</cp:lastModifiedBy>
  <dcterms:created xsi:type="dcterms:W3CDTF">2026-01-13T00:47:31Z</dcterms:created>
  <dcterms:modified xsi:type="dcterms:W3CDTF">2026-01-13T23:32:39Z</dcterms:modified>
</cp:coreProperties>
</file>