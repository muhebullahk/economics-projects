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K1/Google Drive/Teaching 2026/Winter 2026/ECON 300/Grades/"/>
    </mc:Choice>
  </mc:AlternateContent>
  <xr:revisionPtr revIDLastSave="0" documentId="13_ncr:1_{E97B848F-1D37-E54F-89BA-C2E8C0D4974F}" xr6:coauthVersionLast="47" xr6:coauthVersionMax="47" xr10:uidLastSave="{00000000-0000-0000-0000-000000000000}"/>
  <bookViews>
    <workbookView xWindow="160" yWindow="640" windowWidth="28480" windowHeight="17200" xr2:uid="{F0B6E93D-9AF2-2F47-A1A7-902948600976}"/>
  </bookViews>
  <sheets>
    <sheet name="Grad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T27" i="1"/>
  <c r="T28" i="1"/>
  <c r="T9" i="1"/>
  <c r="T3" i="1"/>
  <c r="T4" i="1"/>
  <c r="T5" i="1"/>
  <c r="T6" i="1"/>
  <c r="T7" i="1"/>
  <c r="T8" i="1"/>
  <c r="T10" i="1"/>
  <c r="T11" i="1"/>
  <c r="T12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9" i="1"/>
  <c r="T2" i="1"/>
  <c r="S3" i="1"/>
  <c r="S4" i="1"/>
  <c r="S5" i="1"/>
  <c r="S6" i="1"/>
  <c r="S7" i="1"/>
  <c r="S8" i="1"/>
  <c r="S9" i="1"/>
  <c r="S10" i="1"/>
  <c r="S11" i="1"/>
  <c r="S12" i="1"/>
  <c r="S13" i="1"/>
  <c r="T13" i="1" s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2" i="1"/>
  <c r="K3" i="1"/>
  <c r="N3" i="1" s="1"/>
  <c r="O3" i="1" s="1"/>
  <c r="K4" i="1"/>
  <c r="N4" i="1" s="1"/>
  <c r="O4" i="1" s="1"/>
  <c r="K5" i="1"/>
  <c r="N5" i="1" s="1"/>
  <c r="O5" i="1" s="1"/>
  <c r="K6" i="1"/>
  <c r="N6" i="1" s="1"/>
  <c r="O6" i="1" s="1"/>
  <c r="K7" i="1"/>
  <c r="N7" i="1" s="1"/>
  <c r="O7" i="1" s="1"/>
  <c r="K8" i="1"/>
  <c r="N8" i="1" s="1"/>
  <c r="O8" i="1" s="1"/>
  <c r="K9" i="1"/>
  <c r="N9" i="1" s="1"/>
  <c r="O9" i="1" s="1"/>
  <c r="K10" i="1"/>
  <c r="N10" i="1" s="1"/>
  <c r="O10" i="1" s="1"/>
  <c r="K11" i="1"/>
  <c r="N11" i="1" s="1"/>
  <c r="O11" i="1" s="1"/>
  <c r="K12" i="1"/>
  <c r="N12" i="1" s="1"/>
  <c r="O12" i="1" s="1"/>
  <c r="K13" i="1"/>
  <c r="N13" i="1" s="1"/>
  <c r="O13" i="1" s="1"/>
  <c r="K14" i="1"/>
  <c r="N14" i="1" s="1"/>
  <c r="O14" i="1" s="1"/>
  <c r="K15" i="1"/>
  <c r="N15" i="1" s="1"/>
  <c r="O15" i="1" s="1"/>
  <c r="K16" i="1"/>
  <c r="N16" i="1" s="1"/>
  <c r="O16" i="1" s="1"/>
  <c r="K17" i="1"/>
  <c r="N17" i="1" s="1"/>
  <c r="O17" i="1" s="1"/>
  <c r="K18" i="1"/>
  <c r="N18" i="1" s="1"/>
  <c r="O18" i="1" s="1"/>
  <c r="K19" i="1"/>
  <c r="N19" i="1" s="1"/>
  <c r="O19" i="1" s="1"/>
  <c r="K20" i="1"/>
  <c r="N20" i="1" s="1"/>
  <c r="O20" i="1" s="1"/>
  <c r="K21" i="1"/>
  <c r="N21" i="1" s="1"/>
  <c r="O21" i="1" s="1"/>
  <c r="K22" i="1"/>
  <c r="N22" i="1" s="1"/>
  <c r="O22" i="1" s="1"/>
  <c r="K23" i="1"/>
  <c r="N23" i="1" s="1"/>
  <c r="O23" i="1" s="1"/>
  <c r="K24" i="1"/>
  <c r="N24" i="1" s="1"/>
  <c r="O24" i="1" s="1"/>
  <c r="K25" i="1"/>
  <c r="N25" i="1" s="1"/>
  <c r="O25" i="1" s="1"/>
  <c r="K26" i="1"/>
  <c r="N26" i="1" s="1"/>
  <c r="O26" i="1" s="1"/>
  <c r="K27" i="1"/>
  <c r="N27" i="1" s="1"/>
  <c r="O27" i="1" s="1"/>
  <c r="K28" i="1"/>
  <c r="N28" i="1" s="1"/>
  <c r="O28" i="1" s="1"/>
  <c r="K29" i="1"/>
  <c r="N29" i="1" s="1"/>
  <c r="O29" i="1" s="1"/>
  <c r="K2" i="1"/>
  <c r="N2" i="1" s="1"/>
  <c r="O2" i="1" s="1"/>
  <c r="T31" i="1" l="1"/>
</calcChain>
</file>

<file path=xl/sharedStrings.xml><?xml version="1.0" encoding="utf-8"?>
<sst xmlns="http://schemas.openxmlformats.org/spreadsheetml/2006/main" count="218" uniqueCount="99">
  <si>
    <t>First name</t>
  </si>
  <si>
    <t>Last name</t>
  </si>
  <si>
    <t>ID number</t>
  </si>
  <si>
    <t>Quiz 1 (Real)</t>
  </si>
  <si>
    <t>Quiz 2 (Real)</t>
  </si>
  <si>
    <t>Quiz 3 (Real)</t>
  </si>
  <si>
    <t>Quiz 4 (Real)</t>
  </si>
  <si>
    <t>Quiz 5 (Real)</t>
  </si>
  <si>
    <t>Grace</t>
  </si>
  <si>
    <t>Andersen</t>
  </si>
  <si>
    <t>230161121</t>
  </si>
  <si>
    <t>.</t>
  </si>
  <si>
    <t>Aryanshu</t>
  </si>
  <si>
    <t>230153017</t>
  </si>
  <si>
    <t>Barwise</t>
  </si>
  <si>
    <t>230156854</t>
  </si>
  <si>
    <t>Kelsyn</t>
  </si>
  <si>
    <t>Bowal</t>
  </si>
  <si>
    <t>230157787</t>
  </si>
  <si>
    <t>Tyler</t>
  </si>
  <si>
    <t>Burt</t>
  </si>
  <si>
    <t>230158594</t>
  </si>
  <si>
    <t>Ryan</t>
  </si>
  <si>
    <t>Danbrook</t>
  </si>
  <si>
    <t>230156728</t>
  </si>
  <si>
    <t>Dhaniella</t>
  </si>
  <si>
    <t>Dela Rosa</t>
  </si>
  <si>
    <t>230157705</t>
  </si>
  <si>
    <t>Ameer</t>
  </si>
  <si>
    <t>Dhillon</t>
  </si>
  <si>
    <t>230141880</t>
  </si>
  <si>
    <t>Aaron</t>
  </si>
  <si>
    <t>Duong</t>
  </si>
  <si>
    <t>230160605</t>
  </si>
  <si>
    <t>Shannon</t>
  </si>
  <si>
    <t>Fairservice</t>
  </si>
  <si>
    <t>230145026</t>
  </si>
  <si>
    <t>Gabrielle</t>
  </si>
  <si>
    <t>Gamboa</t>
  </si>
  <si>
    <t>230159473</t>
  </si>
  <si>
    <t>Taylor</t>
  </si>
  <si>
    <t>Gilkerson</t>
  </si>
  <si>
    <t>230150815</t>
  </si>
  <si>
    <t>Jaais</t>
  </si>
  <si>
    <t>Hasnani</t>
  </si>
  <si>
    <t>230158681</t>
  </si>
  <si>
    <t>Daniel</t>
  </si>
  <si>
    <t>Jenniss</t>
  </si>
  <si>
    <t>230161998</t>
  </si>
  <si>
    <t>Nianxuan</t>
  </si>
  <si>
    <t>Liu</t>
  </si>
  <si>
    <t>230160646</t>
  </si>
  <si>
    <t>Dylan</t>
  </si>
  <si>
    <t>Logan</t>
  </si>
  <si>
    <t>230161575</t>
  </si>
  <si>
    <t>Kailey</t>
  </si>
  <si>
    <t>230154681</t>
  </si>
  <si>
    <t>Ashley</t>
  </si>
  <si>
    <t>Miller</t>
  </si>
  <si>
    <t>230150592</t>
  </si>
  <si>
    <t>Jaime</t>
  </si>
  <si>
    <t>Petersen</t>
  </si>
  <si>
    <t>230150314</t>
  </si>
  <si>
    <t>Palak</t>
  </si>
  <si>
    <t>Sharma</t>
  </si>
  <si>
    <t>230163070</t>
  </si>
  <si>
    <t>Noah</t>
  </si>
  <si>
    <t>Smith</t>
  </si>
  <si>
    <t>230163184</t>
  </si>
  <si>
    <t>Ravneet</t>
  </si>
  <si>
    <t>Takhar</t>
  </si>
  <si>
    <t>230143812</t>
  </si>
  <si>
    <t>Elisabeth</t>
  </si>
  <si>
    <t>Tchaa</t>
  </si>
  <si>
    <t>230167364</t>
  </si>
  <si>
    <t>Aastha</t>
  </si>
  <si>
    <t>Thakkar</t>
  </si>
  <si>
    <t>230152565</t>
  </si>
  <si>
    <t>Amneet</t>
  </si>
  <si>
    <t>Toor</t>
  </si>
  <si>
    <t>230158276</t>
  </si>
  <si>
    <t>Kyla</t>
  </si>
  <si>
    <t>Urian</t>
  </si>
  <si>
    <t>230152470</t>
  </si>
  <si>
    <t>Suhana</t>
  </si>
  <si>
    <t>Vasaya</t>
  </si>
  <si>
    <t>230156011</t>
  </si>
  <si>
    <t>Jaden</t>
  </si>
  <si>
    <t>West</t>
  </si>
  <si>
    <t>230167218</t>
  </si>
  <si>
    <t>Quizzes Total</t>
  </si>
  <si>
    <t>Assignment</t>
  </si>
  <si>
    <t>FE MCQ (63)</t>
  </si>
  <si>
    <t>FE Problems (35)</t>
  </si>
  <si>
    <t>Bonus (5)</t>
  </si>
  <si>
    <t>FE</t>
  </si>
  <si>
    <t>FG</t>
  </si>
  <si>
    <t>MT1 (60)</t>
  </si>
  <si>
    <t>MT2 (50)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</si>
</sst>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rial Unicode MS"/>
      <family val="2"/>
    </font>
    <font>
      <b/>
      <i/>
      <sz val="16"/>
      <color theme="1"/>
      <name val="Arial Unicode MS"/>
      <family val="2"/>
    </font>
    <font>
      <b/>
      <i/>
      <u/>
      <sz val="12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1" fontId="0" fillId="0" borderId="0" xfId="0" applyNumberFormat="1" applyAlignment="1">
      <alignment horizontal="left" indent="6"/>
    </xf>
  </cellXfs>
  <cellStyles count="5">
    <cellStyle name="Heading" xfId="1" xr:uid="{25C15B22-8D56-0945-B749-C20136A2F2C4}"/>
    <cellStyle name="Heading1" xfId="2" xr:uid="{3FBE8D60-F188-5542-979E-D3FA17F7995F}"/>
    <cellStyle name="Normal" xfId="0" builtinId="0" customBuiltin="1"/>
    <cellStyle name="Result" xfId="3" xr:uid="{E326A799-479B-2C40-96AA-D18893AC7A39}"/>
    <cellStyle name="Result2" xfId="4" xr:uid="{DAB28574-E023-B341-99C8-768B1A9890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FB61-4328-834F-8854-AB8CE1B3CFA1}">
  <dimension ref="A1:T32"/>
  <sheetViews>
    <sheetView tabSelected="1" topLeftCell="E1" workbookViewId="0">
      <selection activeCell="T21" sqref="T21"/>
    </sheetView>
  </sheetViews>
  <sheetFormatPr baseColWidth="10" defaultRowHeight="18" x14ac:dyDescent="0.25"/>
  <cols>
    <col min="11" max="11" width="13.140625" customWidth="1"/>
    <col min="13" max="13" width="13.140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97</v>
      </c>
      <c r="J1" t="s">
        <v>98</v>
      </c>
      <c r="K1" t="s">
        <v>90</v>
      </c>
      <c r="L1" t="s">
        <v>0</v>
      </c>
      <c r="M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</row>
    <row r="2" spans="1:20" x14ac:dyDescent="0.25">
      <c r="A2" t="s">
        <v>8</v>
      </c>
      <c r="B2" t="s">
        <v>9</v>
      </c>
      <c r="C2" t="s">
        <v>10</v>
      </c>
      <c r="D2">
        <v>17</v>
      </c>
      <c r="E2">
        <v>12</v>
      </c>
      <c r="F2">
        <v>18</v>
      </c>
      <c r="G2">
        <v>17</v>
      </c>
      <c r="H2">
        <v>20</v>
      </c>
      <c r="I2">
        <v>41.5</v>
      </c>
      <c r="J2">
        <v>39</v>
      </c>
      <c r="K2">
        <f>(SUM(D2:H2)-MIN(D2:H2))/(4*20)*10</f>
        <v>9</v>
      </c>
      <c r="L2" t="s">
        <v>8</v>
      </c>
      <c r="M2">
        <v>12</v>
      </c>
      <c r="N2" s="1">
        <f>I2/60*20+J2/50*20+K2+M2</f>
        <v>50.433333333333337</v>
      </c>
      <c r="O2" s="2">
        <f>N2/65*100</f>
        <v>77.589743589743591</v>
      </c>
      <c r="P2">
        <v>52</v>
      </c>
      <c r="Q2">
        <v>29</v>
      </c>
      <c r="R2">
        <v>5</v>
      </c>
      <c r="S2">
        <f>P2+Q2+R2</f>
        <v>86</v>
      </c>
      <c r="T2" s="2">
        <f>I2/60*20+J2/50*20+K2+M2+S2/100*35</f>
        <v>80.533333333333331</v>
      </c>
    </row>
    <row r="3" spans="1:20" x14ac:dyDescent="0.25">
      <c r="A3" t="s">
        <v>11</v>
      </c>
      <c r="B3" t="s">
        <v>12</v>
      </c>
      <c r="C3" t="s">
        <v>13</v>
      </c>
      <c r="D3">
        <v>10</v>
      </c>
      <c r="E3">
        <v>8</v>
      </c>
      <c r="F3">
        <v>16.5</v>
      </c>
      <c r="G3">
        <v>18</v>
      </c>
      <c r="H3">
        <v>0</v>
      </c>
      <c r="I3">
        <v>32</v>
      </c>
      <c r="J3">
        <v>32.5</v>
      </c>
      <c r="K3">
        <f t="shared" ref="K3:K29" si="0">(SUM(D3:H3)-MIN(D3:H3))/(4*20)*10</f>
        <v>6.5625</v>
      </c>
      <c r="L3" t="s">
        <v>11</v>
      </c>
      <c r="M3">
        <v>13</v>
      </c>
      <c r="N3" s="1">
        <f t="shared" ref="N3:N29" si="1">I3/60*20+J3/50*20+K3+M3</f>
        <v>43.229166666666664</v>
      </c>
      <c r="O3" s="2">
        <f t="shared" ref="O3:O29" si="2">N3/65*100</f>
        <v>66.506410256410248</v>
      </c>
      <c r="P3">
        <v>41</v>
      </c>
      <c r="Q3">
        <v>29.5</v>
      </c>
      <c r="R3">
        <v>5</v>
      </c>
      <c r="S3">
        <f t="shared" ref="S3:S29" si="3">P3+Q3+R3</f>
        <v>75.5</v>
      </c>
      <c r="T3" s="2">
        <f t="shared" ref="T3:T29" si="4">I3/60*20+J3/50*20+K3+M3+S3/100*35</f>
        <v>69.654166666666669</v>
      </c>
    </row>
    <row r="4" spans="1:20" x14ac:dyDescent="0.25">
      <c r="A4" t="s">
        <v>8</v>
      </c>
      <c r="B4" t="s">
        <v>14</v>
      </c>
      <c r="C4" t="s">
        <v>15</v>
      </c>
      <c r="D4">
        <v>14.5</v>
      </c>
      <c r="E4">
        <v>0</v>
      </c>
      <c r="F4">
        <v>19</v>
      </c>
      <c r="G4">
        <v>15</v>
      </c>
      <c r="H4">
        <v>20</v>
      </c>
      <c r="I4">
        <v>43.5</v>
      </c>
      <c r="J4">
        <v>35</v>
      </c>
      <c r="K4">
        <f t="shared" si="0"/>
        <v>8.5625</v>
      </c>
      <c r="L4" t="s">
        <v>8</v>
      </c>
      <c r="M4">
        <v>11</v>
      </c>
      <c r="N4" s="1">
        <f t="shared" si="1"/>
        <v>48.0625</v>
      </c>
      <c r="O4" s="2">
        <f t="shared" si="2"/>
        <v>73.942307692307693</v>
      </c>
      <c r="P4">
        <v>43</v>
      </c>
      <c r="Q4">
        <v>26.5</v>
      </c>
      <c r="R4">
        <v>5</v>
      </c>
      <c r="S4">
        <f t="shared" si="3"/>
        <v>74.5</v>
      </c>
      <c r="T4" s="2">
        <f t="shared" si="4"/>
        <v>74.137500000000003</v>
      </c>
    </row>
    <row r="5" spans="1:20" x14ac:dyDescent="0.25">
      <c r="A5" t="s">
        <v>16</v>
      </c>
      <c r="B5" t="s">
        <v>17</v>
      </c>
      <c r="C5" t="s">
        <v>18</v>
      </c>
      <c r="D5">
        <v>10.5</v>
      </c>
      <c r="E5">
        <v>12</v>
      </c>
      <c r="F5">
        <v>11</v>
      </c>
      <c r="G5">
        <v>10.5</v>
      </c>
      <c r="H5">
        <v>0</v>
      </c>
      <c r="I5">
        <v>31</v>
      </c>
      <c r="J5">
        <v>25.5</v>
      </c>
      <c r="K5">
        <f t="shared" si="0"/>
        <v>5.5</v>
      </c>
      <c r="L5" t="s">
        <v>16</v>
      </c>
      <c r="M5">
        <v>12</v>
      </c>
      <c r="N5" s="1">
        <f t="shared" si="1"/>
        <v>38.033333333333331</v>
      </c>
      <c r="O5" s="2">
        <f t="shared" si="2"/>
        <v>58.512820512820504</v>
      </c>
      <c r="P5">
        <v>27</v>
      </c>
      <c r="Q5">
        <v>10</v>
      </c>
      <c r="R5">
        <v>5</v>
      </c>
      <c r="S5">
        <f t="shared" si="3"/>
        <v>42</v>
      </c>
      <c r="T5" s="2">
        <f t="shared" si="4"/>
        <v>52.733333333333334</v>
      </c>
    </row>
    <row r="6" spans="1:20" x14ac:dyDescent="0.25">
      <c r="A6" t="s">
        <v>19</v>
      </c>
      <c r="B6" t="s">
        <v>20</v>
      </c>
      <c r="C6" t="s">
        <v>21</v>
      </c>
      <c r="D6">
        <v>13</v>
      </c>
      <c r="E6">
        <v>12</v>
      </c>
      <c r="F6">
        <v>13</v>
      </c>
      <c r="G6">
        <v>14</v>
      </c>
      <c r="H6">
        <v>10.5</v>
      </c>
      <c r="I6">
        <v>25</v>
      </c>
      <c r="J6">
        <v>24.5</v>
      </c>
      <c r="K6">
        <f t="shared" si="0"/>
        <v>6.5</v>
      </c>
      <c r="L6" t="s">
        <v>19</v>
      </c>
      <c r="M6">
        <v>11</v>
      </c>
      <c r="N6" s="1">
        <f t="shared" si="1"/>
        <v>35.633333333333333</v>
      </c>
      <c r="O6" s="2">
        <f t="shared" si="2"/>
        <v>54.820512820512825</v>
      </c>
      <c r="P6">
        <v>27</v>
      </c>
      <c r="Q6">
        <v>24.5</v>
      </c>
      <c r="R6">
        <v>5</v>
      </c>
      <c r="S6">
        <f t="shared" si="3"/>
        <v>56.5</v>
      </c>
      <c r="T6" s="2">
        <f t="shared" si="4"/>
        <v>55.408333333333331</v>
      </c>
    </row>
    <row r="7" spans="1:20" x14ac:dyDescent="0.25">
      <c r="A7" t="s">
        <v>22</v>
      </c>
      <c r="B7" t="s">
        <v>23</v>
      </c>
      <c r="C7" t="s">
        <v>24</v>
      </c>
      <c r="D7">
        <v>0</v>
      </c>
      <c r="E7">
        <v>0</v>
      </c>
      <c r="F7">
        <v>10.5</v>
      </c>
      <c r="G7">
        <v>0</v>
      </c>
      <c r="H7">
        <v>0</v>
      </c>
      <c r="I7">
        <v>30</v>
      </c>
      <c r="J7">
        <v>25</v>
      </c>
      <c r="K7">
        <f t="shared" si="0"/>
        <v>1.3125</v>
      </c>
      <c r="L7" t="s">
        <v>22</v>
      </c>
      <c r="M7">
        <v>13</v>
      </c>
      <c r="N7" s="1">
        <f t="shared" si="1"/>
        <v>34.3125</v>
      </c>
      <c r="O7" s="2">
        <f t="shared" si="2"/>
        <v>52.78846153846154</v>
      </c>
      <c r="P7">
        <v>38</v>
      </c>
      <c r="Q7">
        <v>22.5</v>
      </c>
      <c r="R7">
        <v>0</v>
      </c>
      <c r="S7">
        <f t="shared" si="3"/>
        <v>60.5</v>
      </c>
      <c r="T7" s="2">
        <f t="shared" si="4"/>
        <v>55.487499999999997</v>
      </c>
    </row>
    <row r="8" spans="1:20" x14ac:dyDescent="0.25">
      <c r="A8" t="s">
        <v>25</v>
      </c>
      <c r="B8" t="s">
        <v>26</v>
      </c>
      <c r="C8" t="s">
        <v>27</v>
      </c>
      <c r="D8">
        <v>13</v>
      </c>
      <c r="E8">
        <v>12</v>
      </c>
      <c r="F8">
        <v>13</v>
      </c>
      <c r="G8">
        <v>16</v>
      </c>
      <c r="H8">
        <v>13</v>
      </c>
      <c r="I8">
        <v>30</v>
      </c>
      <c r="J8">
        <v>23.5</v>
      </c>
      <c r="K8">
        <f t="shared" si="0"/>
        <v>6.875</v>
      </c>
      <c r="L8" t="s">
        <v>25</v>
      </c>
      <c r="M8">
        <v>14</v>
      </c>
      <c r="N8" s="1">
        <f t="shared" si="1"/>
        <v>40.274999999999999</v>
      </c>
      <c r="O8" s="2">
        <f t="shared" si="2"/>
        <v>61.96153846153846</v>
      </c>
      <c r="P8">
        <v>57</v>
      </c>
      <c r="Q8">
        <v>24.5</v>
      </c>
      <c r="R8">
        <v>5</v>
      </c>
      <c r="S8">
        <f t="shared" si="3"/>
        <v>86.5</v>
      </c>
      <c r="T8" s="2">
        <f t="shared" si="4"/>
        <v>70.55</v>
      </c>
    </row>
    <row r="9" spans="1:20" x14ac:dyDescent="0.25">
      <c r="A9" t="s">
        <v>28</v>
      </c>
      <c r="B9" t="s">
        <v>29</v>
      </c>
      <c r="C9" t="s">
        <v>30</v>
      </c>
      <c r="D9">
        <v>14</v>
      </c>
      <c r="E9">
        <v>0</v>
      </c>
      <c r="F9">
        <v>0</v>
      </c>
      <c r="G9">
        <v>8.5</v>
      </c>
      <c r="H9">
        <v>13.5</v>
      </c>
      <c r="I9">
        <v>24</v>
      </c>
      <c r="J9" s="3"/>
      <c r="K9">
        <f t="shared" si="0"/>
        <v>4.5</v>
      </c>
      <c r="L9" t="s">
        <v>28</v>
      </c>
      <c r="M9">
        <v>13</v>
      </c>
      <c r="N9" s="1">
        <f t="shared" si="1"/>
        <v>25.5</v>
      </c>
      <c r="O9" s="2">
        <f t="shared" si="2"/>
        <v>39.230769230769234</v>
      </c>
      <c r="P9">
        <v>35</v>
      </c>
      <c r="Q9">
        <v>18</v>
      </c>
      <c r="R9">
        <v>5</v>
      </c>
      <c r="S9">
        <f t="shared" si="3"/>
        <v>58</v>
      </c>
      <c r="T9" s="2">
        <f>I9/60*30+K9+M9+S9/100*45</f>
        <v>55.599999999999994</v>
      </c>
    </row>
    <row r="10" spans="1:20" x14ac:dyDescent="0.25">
      <c r="A10" t="s">
        <v>31</v>
      </c>
      <c r="B10" t="s">
        <v>32</v>
      </c>
      <c r="C10" t="s">
        <v>33</v>
      </c>
      <c r="D10">
        <v>14</v>
      </c>
      <c r="E10">
        <v>0</v>
      </c>
      <c r="F10">
        <v>14</v>
      </c>
      <c r="G10">
        <v>15</v>
      </c>
      <c r="H10">
        <v>12.5</v>
      </c>
      <c r="I10">
        <v>25.5</v>
      </c>
      <c r="J10">
        <v>14</v>
      </c>
      <c r="K10">
        <f t="shared" si="0"/>
        <v>6.9375</v>
      </c>
      <c r="L10" t="s">
        <v>31</v>
      </c>
      <c r="M10">
        <v>12</v>
      </c>
      <c r="N10" s="1">
        <f t="shared" si="1"/>
        <v>33.037500000000001</v>
      </c>
      <c r="O10" s="2">
        <f t="shared" si="2"/>
        <v>50.82692307692308</v>
      </c>
      <c r="P10">
        <v>32</v>
      </c>
      <c r="Q10">
        <v>12</v>
      </c>
      <c r="R10">
        <v>5</v>
      </c>
      <c r="S10">
        <f t="shared" si="3"/>
        <v>49</v>
      </c>
      <c r="T10" s="2">
        <f t="shared" si="4"/>
        <v>50.1875</v>
      </c>
    </row>
    <row r="11" spans="1:20" x14ac:dyDescent="0.25">
      <c r="A11" t="s">
        <v>34</v>
      </c>
      <c r="B11" t="s">
        <v>35</v>
      </c>
      <c r="C11" t="s">
        <v>36</v>
      </c>
      <c r="D11">
        <v>13.5</v>
      </c>
      <c r="E11">
        <v>6</v>
      </c>
      <c r="F11">
        <v>13.5</v>
      </c>
      <c r="G11">
        <v>8.5</v>
      </c>
      <c r="H11">
        <v>19.5</v>
      </c>
      <c r="I11">
        <v>25</v>
      </c>
      <c r="J11">
        <v>31.5</v>
      </c>
      <c r="K11">
        <f t="shared" si="0"/>
        <v>6.875</v>
      </c>
      <c r="L11" t="s">
        <v>34</v>
      </c>
      <c r="M11">
        <v>13</v>
      </c>
      <c r="N11" s="1">
        <f t="shared" si="1"/>
        <v>40.808333333333337</v>
      </c>
      <c r="O11" s="2">
        <f t="shared" si="2"/>
        <v>62.782051282051285</v>
      </c>
      <c r="P11">
        <v>35</v>
      </c>
      <c r="Q11">
        <v>19.5</v>
      </c>
      <c r="R11">
        <v>5</v>
      </c>
      <c r="S11">
        <f t="shared" si="3"/>
        <v>59.5</v>
      </c>
      <c r="T11" s="2">
        <f t="shared" si="4"/>
        <v>61.63333333333334</v>
      </c>
    </row>
    <row r="12" spans="1:20" x14ac:dyDescent="0.25">
      <c r="A12" t="s">
        <v>37</v>
      </c>
      <c r="B12" t="s">
        <v>38</v>
      </c>
      <c r="C12" t="s">
        <v>39</v>
      </c>
      <c r="D12">
        <v>15</v>
      </c>
      <c r="E12">
        <v>12</v>
      </c>
      <c r="F12">
        <v>9</v>
      </c>
      <c r="G12">
        <v>19</v>
      </c>
      <c r="H12">
        <v>10</v>
      </c>
      <c r="I12">
        <v>37</v>
      </c>
      <c r="J12">
        <v>25</v>
      </c>
      <c r="K12">
        <f t="shared" si="0"/>
        <v>7</v>
      </c>
      <c r="L12" t="s">
        <v>37</v>
      </c>
      <c r="M12">
        <v>11</v>
      </c>
      <c r="N12" s="1">
        <f t="shared" si="1"/>
        <v>40.333333333333336</v>
      </c>
      <c r="O12" s="2">
        <f t="shared" si="2"/>
        <v>62.051282051282051</v>
      </c>
      <c r="P12">
        <v>34</v>
      </c>
      <c r="Q12">
        <v>20.5</v>
      </c>
      <c r="R12">
        <v>5</v>
      </c>
      <c r="S12">
        <f t="shared" si="3"/>
        <v>59.5</v>
      </c>
      <c r="T12" s="2">
        <f t="shared" si="4"/>
        <v>61.158333333333331</v>
      </c>
    </row>
    <row r="13" spans="1:20" x14ac:dyDescent="0.25">
      <c r="A13" t="s">
        <v>40</v>
      </c>
      <c r="B13" t="s">
        <v>41</v>
      </c>
      <c r="C13" t="s">
        <v>42</v>
      </c>
      <c r="D13">
        <v>10</v>
      </c>
      <c r="E13">
        <v>12</v>
      </c>
      <c r="F13">
        <v>15</v>
      </c>
      <c r="G13">
        <v>15</v>
      </c>
      <c r="H13">
        <v>13.5</v>
      </c>
      <c r="I13">
        <v>36</v>
      </c>
      <c r="J13">
        <v>34.5</v>
      </c>
      <c r="K13">
        <f t="shared" si="0"/>
        <v>6.9375</v>
      </c>
      <c r="L13" t="s">
        <v>40</v>
      </c>
      <c r="M13">
        <v>13</v>
      </c>
      <c r="N13" s="1">
        <f t="shared" si="1"/>
        <v>45.737499999999997</v>
      </c>
      <c r="O13" s="2">
        <f t="shared" si="2"/>
        <v>70.365384615384613</v>
      </c>
      <c r="P13">
        <v>38</v>
      </c>
      <c r="Q13">
        <v>30</v>
      </c>
      <c r="R13">
        <v>5</v>
      </c>
      <c r="S13">
        <f t="shared" si="3"/>
        <v>73</v>
      </c>
      <c r="T13" s="2">
        <f t="shared" si="4"/>
        <v>71.287499999999994</v>
      </c>
    </row>
    <row r="14" spans="1:20" x14ac:dyDescent="0.25">
      <c r="A14" t="s">
        <v>43</v>
      </c>
      <c r="B14" t="s">
        <v>44</v>
      </c>
      <c r="C14" t="s">
        <v>45</v>
      </c>
      <c r="D14">
        <v>6.5</v>
      </c>
      <c r="E14">
        <v>0</v>
      </c>
      <c r="F14">
        <v>2</v>
      </c>
      <c r="G14">
        <v>0</v>
      </c>
      <c r="H14">
        <v>0</v>
      </c>
      <c r="I14">
        <v>13.5</v>
      </c>
      <c r="J14">
        <v>17.5</v>
      </c>
      <c r="K14">
        <f t="shared" si="0"/>
        <v>1.0625</v>
      </c>
      <c r="L14" t="s">
        <v>43</v>
      </c>
      <c r="M14">
        <v>10</v>
      </c>
      <c r="N14" s="1">
        <f t="shared" si="1"/>
        <v>22.5625</v>
      </c>
      <c r="O14" s="2">
        <f t="shared" si="2"/>
        <v>34.71153846153846</v>
      </c>
      <c r="P14">
        <v>22</v>
      </c>
      <c r="Q14">
        <v>2.5</v>
      </c>
      <c r="R14">
        <v>0</v>
      </c>
      <c r="S14">
        <f t="shared" si="3"/>
        <v>24.5</v>
      </c>
      <c r="T14" s="2">
        <f t="shared" si="4"/>
        <v>31.137499999999999</v>
      </c>
    </row>
    <row r="15" spans="1:20" x14ac:dyDescent="0.25">
      <c r="A15" t="s">
        <v>46</v>
      </c>
      <c r="B15" t="s">
        <v>47</v>
      </c>
      <c r="C15" t="s">
        <v>48</v>
      </c>
      <c r="D15">
        <v>19</v>
      </c>
      <c r="E15">
        <v>18</v>
      </c>
      <c r="F15">
        <v>16</v>
      </c>
      <c r="G15">
        <v>19</v>
      </c>
      <c r="H15">
        <v>20</v>
      </c>
      <c r="I15">
        <v>49</v>
      </c>
      <c r="J15">
        <v>45.5</v>
      </c>
      <c r="K15">
        <f t="shared" si="0"/>
        <v>9.5</v>
      </c>
      <c r="L15" t="s">
        <v>46</v>
      </c>
      <c r="M15">
        <v>13</v>
      </c>
      <c r="N15" s="1">
        <f t="shared" si="1"/>
        <v>57.033333333333331</v>
      </c>
      <c r="O15" s="2">
        <f t="shared" si="2"/>
        <v>87.743589743589752</v>
      </c>
      <c r="P15">
        <v>58</v>
      </c>
      <c r="Q15">
        <v>33</v>
      </c>
      <c r="R15">
        <v>5</v>
      </c>
      <c r="S15">
        <f t="shared" si="3"/>
        <v>96</v>
      </c>
      <c r="T15" s="4">
        <f t="shared" si="4"/>
        <v>90.633333333333326</v>
      </c>
    </row>
    <row r="16" spans="1:20" x14ac:dyDescent="0.25">
      <c r="A16" t="s">
        <v>49</v>
      </c>
      <c r="B16" t="s">
        <v>50</v>
      </c>
      <c r="C16" t="s">
        <v>51</v>
      </c>
      <c r="D16">
        <v>13</v>
      </c>
      <c r="E16">
        <v>10</v>
      </c>
      <c r="F16">
        <v>7.5</v>
      </c>
      <c r="G16">
        <v>12</v>
      </c>
      <c r="H16">
        <v>20</v>
      </c>
      <c r="I16">
        <v>30.5</v>
      </c>
      <c r="J16">
        <v>26.5</v>
      </c>
      <c r="K16">
        <f t="shared" si="0"/>
        <v>6.875</v>
      </c>
      <c r="L16" t="s">
        <v>49</v>
      </c>
      <c r="M16">
        <v>13</v>
      </c>
      <c r="N16" s="1">
        <f t="shared" si="1"/>
        <v>40.641666666666666</v>
      </c>
      <c r="O16" s="2">
        <f t="shared" si="2"/>
        <v>62.525641025641022</v>
      </c>
      <c r="P16">
        <v>40</v>
      </c>
      <c r="Q16">
        <v>27</v>
      </c>
      <c r="R16">
        <v>0</v>
      </c>
      <c r="S16">
        <f t="shared" si="3"/>
        <v>67</v>
      </c>
      <c r="T16" s="2">
        <f t="shared" si="4"/>
        <v>64.091666666666669</v>
      </c>
    </row>
    <row r="17" spans="1:20" x14ac:dyDescent="0.25">
      <c r="A17" t="s">
        <v>52</v>
      </c>
      <c r="B17" t="s">
        <v>53</v>
      </c>
      <c r="C17" t="s">
        <v>54</v>
      </c>
      <c r="D17">
        <v>11.5</v>
      </c>
      <c r="E17">
        <v>14</v>
      </c>
      <c r="F17">
        <v>12</v>
      </c>
      <c r="G17">
        <v>20</v>
      </c>
      <c r="H17">
        <v>18</v>
      </c>
      <c r="I17">
        <v>31</v>
      </c>
      <c r="J17">
        <v>23.5</v>
      </c>
      <c r="K17">
        <f t="shared" si="0"/>
        <v>8</v>
      </c>
      <c r="L17" t="s">
        <v>52</v>
      </c>
      <c r="M17">
        <v>13</v>
      </c>
      <c r="N17" s="1">
        <f t="shared" si="1"/>
        <v>40.733333333333334</v>
      </c>
      <c r="O17" s="2">
        <f t="shared" si="2"/>
        <v>62.666666666666671</v>
      </c>
      <c r="P17">
        <v>41</v>
      </c>
      <c r="Q17">
        <v>32</v>
      </c>
      <c r="R17">
        <v>5</v>
      </c>
      <c r="S17">
        <f t="shared" si="3"/>
        <v>78</v>
      </c>
      <c r="T17" s="2">
        <f t="shared" si="4"/>
        <v>68.033333333333331</v>
      </c>
    </row>
    <row r="18" spans="1:20" x14ac:dyDescent="0.25">
      <c r="A18" t="s">
        <v>55</v>
      </c>
      <c r="B18" t="s">
        <v>53</v>
      </c>
      <c r="C18" t="s">
        <v>56</v>
      </c>
      <c r="D18">
        <v>14.5</v>
      </c>
      <c r="E18">
        <v>16</v>
      </c>
      <c r="F18">
        <v>16.5</v>
      </c>
      <c r="G18">
        <v>18</v>
      </c>
      <c r="H18">
        <v>20</v>
      </c>
      <c r="I18">
        <v>40</v>
      </c>
      <c r="J18">
        <v>33</v>
      </c>
      <c r="K18">
        <f t="shared" si="0"/>
        <v>8.8125</v>
      </c>
      <c r="L18" t="s">
        <v>55</v>
      </c>
      <c r="M18">
        <v>13</v>
      </c>
      <c r="N18" s="1">
        <f t="shared" si="1"/>
        <v>48.345833333333331</v>
      </c>
      <c r="O18" s="2">
        <f t="shared" si="2"/>
        <v>74.378205128205124</v>
      </c>
      <c r="P18">
        <v>46</v>
      </c>
      <c r="Q18">
        <v>30</v>
      </c>
      <c r="R18">
        <v>5</v>
      </c>
      <c r="S18">
        <f t="shared" si="3"/>
        <v>81</v>
      </c>
      <c r="T18" s="2">
        <f t="shared" si="4"/>
        <v>76.695833333333326</v>
      </c>
    </row>
    <row r="19" spans="1:20" x14ac:dyDescent="0.25">
      <c r="A19" t="s">
        <v>57</v>
      </c>
      <c r="B19" t="s">
        <v>58</v>
      </c>
      <c r="C19" t="s">
        <v>59</v>
      </c>
      <c r="D19">
        <v>18</v>
      </c>
      <c r="E19">
        <v>16</v>
      </c>
      <c r="F19">
        <v>18</v>
      </c>
      <c r="G19">
        <v>18</v>
      </c>
      <c r="H19">
        <v>15.5</v>
      </c>
      <c r="I19">
        <v>45</v>
      </c>
      <c r="J19">
        <v>40.5</v>
      </c>
      <c r="K19">
        <f t="shared" si="0"/>
        <v>8.75</v>
      </c>
      <c r="L19" t="s">
        <v>57</v>
      </c>
      <c r="M19">
        <v>14</v>
      </c>
      <c r="N19" s="1">
        <f t="shared" si="1"/>
        <v>53.95</v>
      </c>
      <c r="O19" s="2">
        <f t="shared" si="2"/>
        <v>83</v>
      </c>
      <c r="P19">
        <v>50</v>
      </c>
      <c r="Q19">
        <v>34</v>
      </c>
      <c r="R19">
        <v>5</v>
      </c>
      <c r="S19">
        <f t="shared" si="3"/>
        <v>89</v>
      </c>
      <c r="T19" s="2">
        <f t="shared" si="4"/>
        <v>85.100000000000009</v>
      </c>
    </row>
    <row r="20" spans="1:20" x14ac:dyDescent="0.25">
      <c r="A20" t="s">
        <v>60</v>
      </c>
      <c r="B20" t="s">
        <v>61</v>
      </c>
      <c r="C20" t="s">
        <v>62</v>
      </c>
      <c r="D20">
        <v>16</v>
      </c>
      <c r="E20">
        <v>18</v>
      </c>
      <c r="F20">
        <v>14</v>
      </c>
      <c r="G20">
        <v>14</v>
      </c>
      <c r="H20">
        <v>6.5</v>
      </c>
      <c r="I20">
        <v>24.5</v>
      </c>
      <c r="J20">
        <v>34</v>
      </c>
      <c r="K20">
        <f t="shared" si="0"/>
        <v>7.75</v>
      </c>
      <c r="L20" t="s">
        <v>60</v>
      </c>
      <c r="M20">
        <v>12</v>
      </c>
      <c r="N20" s="1">
        <f t="shared" si="1"/>
        <v>41.516666666666666</v>
      </c>
      <c r="O20" s="2">
        <f t="shared" si="2"/>
        <v>63.871794871794876</v>
      </c>
      <c r="P20">
        <v>30</v>
      </c>
      <c r="Q20">
        <v>22</v>
      </c>
      <c r="R20">
        <v>5</v>
      </c>
      <c r="S20">
        <f t="shared" si="3"/>
        <v>57</v>
      </c>
      <c r="T20" s="2">
        <f t="shared" si="4"/>
        <v>61.466666666666669</v>
      </c>
    </row>
    <row r="21" spans="1:20" x14ac:dyDescent="0.25">
      <c r="A21" t="s">
        <v>63</v>
      </c>
      <c r="B21" t="s">
        <v>64</v>
      </c>
      <c r="C21" t="s">
        <v>65</v>
      </c>
      <c r="D21">
        <v>10</v>
      </c>
      <c r="E21">
        <v>20</v>
      </c>
      <c r="F21">
        <v>16</v>
      </c>
      <c r="G21">
        <v>20</v>
      </c>
      <c r="H21">
        <v>20</v>
      </c>
      <c r="I21">
        <v>22</v>
      </c>
      <c r="J21">
        <v>37.5</v>
      </c>
      <c r="K21">
        <f t="shared" si="0"/>
        <v>9.5</v>
      </c>
      <c r="L21" t="s">
        <v>63</v>
      </c>
      <c r="M21">
        <v>13</v>
      </c>
      <c r="N21" s="1">
        <f t="shared" si="1"/>
        <v>44.833333333333329</v>
      </c>
      <c r="O21" s="2">
        <f t="shared" si="2"/>
        <v>68.974358974358964</v>
      </c>
      <c r="P21">
        <v>35</v>
      </c>
      <c r="Q21">
        <v>28.5</v>
      </c>
      <c r="R21">
        <v>5</v>
      </c>
      <c r="S21">
        <f t="shared" si="3"/>
        <v>68.5</v>
      </c>
      <c r="T21" s="1">
        <f t="shared" si="4"/>
        <v>68.808333333333337</v>
      </c>
    </row>
    <row r="22" spans="1:20" x14ac:dyDescent="0.25">
      <c r="A22" t="s">
        <v>66</v>
      </c>
      <c r="B22" t="s">
        <v>67</v>
      </c>
      <c r="C22" t="s">
        <v>68</v>
      </c>
      <c r="D22">
        <v>15.5</v>
      </c>
      <c r="E22">
        <v>16</v>
      </c>
      <c r="F22">
        <v>0</v>
      </c>
      <c r="G22">
        <v>14</v>
      </c>
      <c r="H22">
        <v>20</v>
      </c>
      <c r="I22">
        <v>42</v>
      </c>
      <c r="J22">
        <v>35.5</v>
      </c>
      <c r="K22">
        <f t="shared" si="0"/>
        <v>8.1875</v>
      </c>
      <c r="L22" t="s">
        <v>66</v>
      </c>
      <c r="M22">
        <v>12</v>
      </c>
      <c r="N22" s="1">
        <f t="shared" si="1"/>
        <v>48.387500000000003</v>
      </c>
      <c r="O22" s="2">
        <f t="shared" si="2"/>
        <v>74.442307692307693</v>
      </c>
      <c r="P22">
        <v>50</v>
      </c>
      <c r="Q22">
        <v>31</v>
      </c>
      <c r="R22">
        <v>5</v>
      </c>
      <c r="S22">
        <f t="shared" si="3"/>
        <v>86</v>
      </c>
      <c r="T22" s="2">
        <f t="shared" si="4"/>
        <v>78.487499999999997</v>
      </c>
    </row>
    <row r="23" spans="1:20" x14ac:dyDescent="0.25">
      <c r="A23" t="s">
        <v>69</v>
      </c>
      <c r="B23" t="s">
        <v>70</v>
      </c>
      <c r="C23" t="s">
        <v>71</v>
      </c>
      <c r="D23">
        <v>13</v>
      </c>
      <c r="E23">
        <v>12</v>
      </c>
      <c r="F23">
        <v>12</v>
      </c>
      <c r="G23">
        <v>14</v>
      </c>
      <c r="H23">
        <v>16</v>
      </c>
      <c r="I23">
        <v>35</v>
      </c>
      <c r="J23">
        <v>29.5</v>
      </c>
      <c r="K23">
        <f t="shared" si="0"/>
        <v>6.875</v>
      </c>
      <c r="L23" t="s">
        <v>69</v>
      </c>
      <c r="M23">
        <v>13</v>
      </c>
      <c r="N23" s="1">
        <f t="shared" si="1"/>
        <v>43.341666666666669</v>
      </c>
      <c r="O23" s="2">
        <f t="shared" si="2"/>
        <v>66.679487179487182</v>
      </c>
      <c r="P23">
        <v>38</v>
      </c>
      <c r="Q23">
        <v>22</v>
      </c>
      <c r="R23">
        <v>5</v>
      </c>
      <c r="S23">
        <f t="shared" si="3"/>
        <v>65</v>
      </c>
      <c r="T23" s="2">
        <f t="shared" si="4"/>
        <v>66.091666666666669</v>
      </c>
    </row>
    <row r="24" spans="1:20" x14ac:dyDescent="0.25">
      <c r="A24" t="s">
        <v>72</v>
      </c>
      <c r="B24" t="s">
        <v>73</v>
      </c>
      <c r="C24" t="s">
        <v>74</v>
      </c>
      <c r="D24">
        <v>11.5</v>
      </c>
      <c r="E24">
        <v>12</v>
      </c>
      <c r="F24">
        <v>0</v>
      </c>
      <c r="G24">
        <v>0</v>
      </c>
      <c r="H24">
        <v>0</v>
      </c>
      <c r="I24">
        <v>24</v>
      </c>
      <c r="J24">
        <v>15</v>
      </c>
      <c r="K24">
        <f t="shared" si="0"/>
        <v>2.9375</v>
      </c>
      <c r="L24" t="s">
        <v>72</v>
      </c>
      <c r="M24">
        <v>13</v>
      </c>
      <c r="N24" s="1">
        <f t="shared" si="1"/>
        <v>29.9375</v>
      </c>
      <c r="O24" s="2">
        <f t="shared" si="2"/>
        <v>46.057692307692307</v>
      </c>
      <c r="P24">
        <v>25</v>
      </c>
      <c r="Q24">
        <v>9</v>
      </c>
      <c r="R24">
        <v>0</v>
      </c>
      <c r="S24">
        <f t="shared" si="3"/>
        <v>34</v>
      </c>
      <c r="T24" s="2">
        <f t="shared" si="4"/>
        <v>41.837499999999999</v>
      </c>
    </row>
    <row r="25" spans="1:20" x14ac:dyDescent="0.25">
      <c r="A25" t="s">
        <v>75</v>
      </c>
      <c r="B25" t="s">
        <v>76</v>
      </c>
      <c r="C25" t="s">
        <v>77</v>
      </c>
      <c r="D25">
        <v>18</v>
      </c>
      <c r="E25">
        <v>0</v>
      </c>
      <c r="F25">
        <v>14.5</v>
      </c>
      <c r="G25">
        <v>13</v>
      </c>
      <c r="H25">
        <v>17</v>
      </c>
      <c r="I25">
        <v>37</v>
      </c>
      <c r="J25">
        <v>28.5</v>
      </c>
      <c r="K25">
        <f t="shared" si="0"/>
        <v>7.8125</v>
      </c>
      <c r="L25" t="s">
        <v>75</v>
      </c>
      <c r="M25">
        <v>15</v>
      </c>
      <c r="N25" s="1">
        <f t="shared" si="1"/>
        <v>46.545833333333334</v>
      </c>
      <c r="O25" s="2">
        <f t="shared" si="2"/>
        <v>71.608974358974365</v>
      </c>
      <c r="P25">
        <v>50</v>
      </c>
      <c r="Q25">
        <v>33</v>
      </c>
      <c r="R25">
        <v>5</v>
      </c>
      <c r="S25">
        <f t="shared" si="3"/>
        <v>88</v>
      </c>
      <c r="T25" s="2">
        <f t="shared" si="4"/>
        <v>77.345833333333331</v>
      </c>
    </row>
    <row r="26" spans="1:20" x14ac:dyDescent="0.25">
      <c r="A26" t="s">
        <v>78</v>
      </c>
      <c r="B26" t="s">
        <v>79</v>
      </c>
      <c r="C26" t="s">
        <v>80</v>
      </c>
      <c r="D26">
        <v>11.5</v>
      </c>
      <c r="E26">
        <v>14</v>
      </c>
      <c r="F26">
        <v>14</v>
      </c>
      <c r="G26">
        <v>16</v>
      </c>
      <c r="H26">
        <v>0</v>
      </c>
      <c r="I26">
        <v>23</v>
      </c>
      <c r="J26">
        <v>26.5</v>
      </c>
      <c r="K26">
        <f t="shared" si="0"/>
        <v>6.9375</v>
      </c>
      <c r="L26" t="s">
        <v>78</v>
      </c>
      <c r="M26">
        <v>12</v>
      </c>
      <c r="N26" s="1">
        <f t="shared" si="1"/>
        <v>37.204166666666666</v>
      </c>
      <c r="O26" s="2">
        <f t="shared" si="2"/>
        <v>57.237179487179489</v>
      </c>
      <c r="P26">
        <v>29</v>
      </c>
      <c r="Q26">
        <v>29.5</v>
      </c>
      <c r="R26">
        <v>5</v>
      </c>
      <c r="S26">
        <f t="shared" si="3"/>
        <v>63.5</v>
      </c>
      <c r="T26" s="2">
        <f t="shared" si="4"/>
        <v>59.429166666666667</v>
      </c>
    </row>
    <row r="27" spans="1:20" x14ac:dyDescent="0.25">
      <c r="A27" t="s">
        <v>81</v>
      </c>
      <c r="B27" t="s">
        <v>82</v>
      </c>
      <c r="C27" t="s">
        <v>83</v>
      </c>
      <c r="D27">
        <v>0</v>
      </c>
      <c r="E27">
        <v>8</v>
      </c>
      <c r="F27">
        <v>13</v>
      </c>
      <c r="G27">
        <v>14</v>
      </c>
      <c r="H27">
        <v>15</v>
      </c>
      <c r="I27">
        <v>31</v>
      </c>
      <c r="J27" s="3"/>
      <c r="K27">
        <f t="shared" si="0"/>
        <v>6.25</v>
      </c>
      <c r="L27" t="s">
        <v>81</v>
      </c>
      <c r="M27">
        <v>12</v>
      </c>
      <c r="N27" s="1">
        <f t="shared" si="1"/>
        <v>28.583333333333336</v>
      </c>
      <c r="O27" s="2">
        <f t="shared" si="2"/>
        <v>43.974358974358978</v>
      </c>
      <c r="P27">
        <v>38</v>
      </c>
      <c r="Q27">
        <v>25</v>
      </c>
      <c r="R27">
        <v>0</v>
      </c>
      <c r="S27">
        <f t="shared" si="3"/>
        <v>63</v>
      </c>
      <c r="T27" s="2">
        <f>I27/60*30+K27+M27+S27/100*45</f>
        <v>62.1</v>
      </c>
    </row>
    <row r="28" spans="1:20" x14ac:dyDescent="0.25">
      <c r="A28" t="s">
        <v>84</v>
      </c>
      <c r="B28" t="s">
        <v>85</v>
      </c>
      <c r="C28" t="s">
        <v>86</v>
      </c>
      <c r="D28">
        <v>15</v>
      </c>
      <c r="E28">
        <v>8</v>
      </c>
      <c r="F28">
        <v>16</v>
      </c>
      <c r="G28">
        <v>13</v>
      </c>
      <c r="H28">
        <v>11</v>
      </c>
      <c r="I28">
        <v>20</v>
      </c>
      <c r="J28" s="3"/>
      <c r="K28">
        <f t="shared" si="0"/>
        <v>6.875</v>
      </c>
      <c r="L28" t="s">
        <v>84</v>
      </c>
      <c r="M28">
        <v>13</v>
      </c>
      <c r="N28" s="1">
        <f t="shared" si="1"/>
        <v>26.541666666666664</v>
      </c>
      <c r="O28" s="2">
        <f t="shared" si="2"/>
        <v>40.833333333333329</v>
      </c>
      <c r="P28">
        <v>26</v>
      </c>
      <c r="Q28">
        <v>20</v>
      </c>
      <c r="R28">
        <v>5</v>
      </c>
      <c r="S28">
        <f t="shared" si="3"/>
        <v>51</v>
      </c>
      <c r="T28" s="2">
        <f>I28/60*30+K28+M28+S28/100*45</f>
        <v>52.825000000000003</v>
      </c>
    </row>
    <row r="29" spans="1:20" x14ac:dyDescent="0.25">
      <c r="A29" t="s">
        <v>87</v>
      </c>
      <c r="B29" t="s">
        <v>88</v>
      </c>
      <c r="C29" t="s">
        <v>89</v>
      </c>
      <c r="D29">
        <v>0</v>
      </c>
      <c r="E29">
        <v>10</v>
      </c>
      <c r="F29">
        <v>6.5</v>
      </c>
      <c r="G29">
        <v>5</v>
      </c>
      <c r="H29">
        <v>2.5</v>
      </c>
      <c r="I29">
        <v>12</v>
      </c>
      <c r="J29">
        <v>18.5</v>
      </c>
      <c r="K29">
        <f t="shared" si="0"/>
        <v>3</v>
      </c>
      <c r="L29" t="s">
        <v>87</v>
      </c>
      <c r="M29">
        <v>12</v>
      </c>
      <c r="N29" s="1">
        <f t="shared" si="1"/>
        <v>26.4</v>
      </c>
      <c r="O29" s="2">
        <f t="shared" si="2"/>
        <v>40.615384615384613</v>
      </c>
      <c r="P29">
        <v>21</v>
      </c>
      <c r="Q29">
        <v>2.5</v>
      </c>
      <c r="R29">
        <v>0</v>
      </c>
      <c r="S29">
        <f t="shared" si="3"/>
        <v>23.5</v>
      </c>
      <c r="T29" s="2">
        <f t="shared" si="4"/>
        <v>34.625</v>
      </c>
    </row>
    <row r="31" spans="1:20" x14ac:dyDescent="0.25">
      <c r="T31" s="2">
        <f>AVERAGE(T2:T29)</f>
        <v>63.467113095238098</v>
      </c>
    </row>
    <row r="32" spans="1:20" x14ac:dyDescent="0.25">
      <c r="O3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A85E3-2389-4349-8E52-0D02A80BECD1}">
  <dimension ref="A1:D31"/>
  <sheetViews>
    <sheetView workbookViewId="0">
      <selection activeCell="F32" sqref="F32"/>
    </sheetView>
  </sheetViews>
  <sheetFormatPr baseColWidth="10" defaultRowHeight="1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96</v>
      </c>
    </row>
    <row r="2" spans="1:4" x14ac:dyDescent="0.25">
      <c r="A2" t="s">
        <v>43</v>
      </c>
      <c r="B2" t="s">
        <v>44</v>
      </c>
      <c r="C2" t="s">
        <v>45</v>
      </c>
      <c r="D2" s="2">
        <v>31.137499999999999</v>
      </c>
    </row>
    <row r="3" spans="1:4" x14ac:dyDescent="0.25">
      <c r="A3" t="s">
        <v>87</v>
      </c>
      <c r="B3" t="s">
        <v>88</v>
      </c>
      <c r="C3" t="s">
        <v>89</v>
      </c>
      <c r="D3" s="2">
        <v>34.625</v>
      </c>
    </row>
    <row r="4" spans="1:4" x14ac:dyDescent="0.25">
      <c r="A4" t="s">
        <v>72</v>
      </c>
      <c r="B4" t="s">
        <v>73</v>
      </c>
      <c r="C4" t="s">
        <v>74</v>
      </c>
      <c r="D4" s="2">
        <v>41.837499999999999</v>
      </c>
    </row>
    <row r="5" spans="1:4" x14ac:dyDescent="0.25">
      <c r="A5" t="s">
        <v>31</v>
      </c>
      <c r="B5" t="s">
        <v>32</v>
      </c>
      <c r="C5" t="s">
        <v>33</v>
      </c>
      <c r="D5" s="2">
        <v>50.1875</v>
      </c>
    </row>
    <row r="6" spans="1:4" x14ac:dyDescent="0.25">
      <c r="A6" t="s">
        <v>16</v>
      </c>
      <c r="B6" t="s">
        <v>17</v>
      </c>
      <c r="C6" t="s">
        <v>18</v>
      </c>
      <c r="D6" s="2">
        <v>52.733333333333334</v>
      </c>
    </row>
    <row r="7" spans="1:4" x14ac:dyDescent="0.25">
      <c r="A7" t="s">
        <v>84</v>
      </c>
      <c r="B7" t="s">
        <v>85</v>
      </c>
      <c r="C7" t="s">
        <v>86</v>
      </c>
      <c r="D7" s="2">
        <v>52.825000000000003</v>
      </c>
    </row>
    <row r="8" spans="1:4" x14ac:dyDescent="0.25">
      <c r="A8" t="s">
        <v>19</v>
      </c>
      <c r="B8" t="s">
        <v>20</v>
      </c>
      <c r="C8" t="s">
        <v>21</v>
      </c>
      <c r="D8" s="2">
        <v>55.408333333333331</v>
      </c>
    </row>
    <row r="9" spans="1:4" x14ac:dyDescent="0.25">
      <c r="A9" t="s">
        <v>22</v>
      </c>
      <c r="B9" t="s">
        <v>23</v>
      </c>
      <c r="C9" t="s">
        <v>24</v>
      </c>
      <c r="D9" s="2">
        <v>55.487499999999997</v>
      </c>
    </row>
    <row r="10" spans="1:4" x14ac:dyDescent="0.25">
      <c r="A10" t="s">
        <v>28</v>
      </c>
      <c r="B10" t="s">
        <v>29</v>
      </c>
      <c r="C10" t="s">
        <v>30</v>
      </c>
      <c r="D10" s="2">
        <v>55.599999999999994</v>
      </c>
    </row>
    <row r="11" spans="1:4" x14ac:dyDescent="0.25">
      <c r="A11" t="s">
        <v>78</v>
      </c>
      <c r="B11" t="s">
        <v>79</v>
      </c>
      <c r="C11" t="s">
        <v>80</v>
      </c>
      <c r="D11" s="2">
        <v>59.429166666666667</v>
      </c>
    </row>
    <row r="12" spans="1:4" x14ac:dyDescent="0.25">
      <c r="A12" t="s">
        <v>37</v>
      </c>
      <c r="B12" t="s">
        <v>38</v>
      </c>
      <c r="C12" t="s">
        <v>39</v>
      </c>
      <c r="D12" s="2">
        <v>61.158333333333331</v>
      </c>
    </row>
    <row r="13" spans="1:4" x14ac:dyDescent="0.25">
      <c r="A13" t="s">
        <v>60</v>
      </c>
      <c r="B13" t="s">
        <v>61</v>
      </c>
      <c r="C13" t="s">
        <v>62</v>
      </c>
      <c r="D13" s="2">
        <v>61.466666666666669</v>
      </c>
    </row>
    <row r="14" spans="1:4" x14ac:dyDescent="0.25">
      <c r="A14" t="s">
        <v>34</v>
      </c>
      <c r="B14" t="s">
        <v>35</v>
      </c>
      <c r="C14" t="s">
        <v>36</v>
      </c>
      <c r="D14" s="2">
        <v>61.63333333333334</v>
      </c>
    </row>
    <row r="15" spans="1:4" x14ac:dyDescent="0.25">
      <c r="A15" t="s">
        <v>81</v>
      </c>
      <c r="B15" t="s">
        <v>82</v>
      </c>
      <c r="C15" t="s">
        <v>83</v>
      </c>
      <c r="D15" s="2">
        <v>62.1</v>
      </c>
    </row>
    <row r="16" spans="1:4" x14ac:dyDescent="0.25">
      <c r="A16" t="s">
        <v>49</v>
      </c>
      <c r="B16" t="s">
        <v>50</v>
      </c>
      <c r="C16" t="s">
        <v>51</v>
      </c>
      <c r="D16" s="2">
        <v>64.091666666666669</v>
      </c>
    </row>
    <row r="17" spans="1:4" x14ac:dyDescent="0.25">
      <c r="A17" t="s">
        <v>69</v>
      </c>
      <c r="B17" t="s">
        <v>70</v>
      </c>
      <c r="C17" t="s">
        <v>71</v>
      </c>
      <c r="D17" s="2">
        <v>66.091666666666669</v>
      </c>
    </row>
    <row r="18" spans="1:4" x14ac:dyDescent="0.25">
      <c r="A18" t="s">
        <v>52</v>
      </c>
      <c r="B18" t="s">
        <v>53</v>
      </c>
      <c r="C18" t="s">
        <v>54</v>
      </c>
      <c r="D18" s="2">
        <v>68.033333333333331</v>
      </c>
    </row>
    <row r="19" spans="1:4" x14ac:dyDescent="0.25">
      <c r="A19" t="s">
        <v>63</v>
      </c>
      <c r="B19" t="s">
        <v>64</v>
      </c>
      <c r="C19" t="s">
        <v>65</v>
      </c>
      <c r="D19" s="2">
        <v>68.808333333333337</v>
      </c>
    </row>
    <row r="20" spans="1:4" x14ac:dyDescent="0.25">
      <c r="A20" t="s">
        <v>11</v>
      </c>
      <c r="B20" t="s">
        <v>12</v>
      </c>
      <c r="C20" t="s">
        <v>13</v>
      </c>
      <c r="D20" s="2">
        <v>69.654166666666669</v>
      </c>
    </row>
    <row r="21" spans="1:4" x14ac:dyDescent="0.25">
      <c r="A21" t="s">
        <v>25</v>
      </c>
      <c r="B21" t="s">
        <v>26</v>
      </c>
      <c r="C21" t="s">
        <v>27</v>
      </c>
      <c r="D21" s="2">
        <v>70.55</v>
      </c>
    </row>
    <row r="22" spans="1:4" x14ac:dyDescent="0.25">
      <c r="A22" t="s">
        <v>40</v>
      </c>
      <c r="B22" t="s">
        <v>41</v>
      </c>
      <c r="C22" t="s">
        <v>42</v>
      </c>
      <c r="D22" s="2">
        <v>71</v>
      </c>
    </row>
    <row r="23" spans="1:4" x14ac:dyDescent="0.25">
      <c r="A23" t="s">
        <v>8</v>
      </c>
      <c r="B23" t="s">
        <v>14</v>
      </c>
      <c r="C23" t="s">
        <v>15</v>
      </c>
      <c r="D23" s="2">
        <v>74.137500000000003</v>
      </c>
    </row>
    <row r="24" spans="1:4" x14ac:dyDescent="0.25">
      <c r="A24" t="s">
        <v>55</v>
      </c>
      <c r="B24" t="s">
        <v>53</v>
      </c>
      <c r="C24" t="s">
        <v>56</v>
      </c>
      <c r="D24" s="2">
        <v>76.695833333333326</v>
      </c>
    </row>
    <row r="25" spans="1:4" x14ac:dyDescent="0.25">
      <c r="A25" t="s">
        <v>75</v>
      </c>
      <c r="B25" t="s">
        <v>76</v>
      </c>
      <c r="C25" t="s">
        <v>77</v>
      </c>
      <c r="D25" s="2">
        <v>77.345833333333331</v>
      </c>
    </row>
    <row r="26" spans="1:4" x14ac:dyDescent="0.25">
      <c r="A26" t="s">
        <v>66</v>
      </c>
      <c r="B26" t="s">
        <v>67</v>
      </c>
      <c r="C26" t="s">
        <v>68</v>
      </c>
      <c r="D26" s="2">
        <v>78.487499999999997</v>
      </c>
    </row>
    <row r="27" spans="1:4" x14ac:dyDescent="0.25">
      <c r="A27" t="s">
        <v>8</v>
      </c>
      <c r="B27" t="s">
        <v>9</v>
      </c>
      <c r="C27" t="s">
        <v>10</v>
      </c>
      <c r="D27" s="2">
        <v>80.533333333333331</v>
      </c>
    </row>
    <row r="28" spans="1:4" x14ac:dyDescent="0.25">
      <c r="A28" t="s">
        <v>57</v>
      </c>
      <c r="B28" t="s">
        <v>58</v>
      </c>
      <c r="C28" t="s">
        <v>59</v>
      </c>
      <c r="D28" s="2">
        <v>85.100000000000009</v>
      </c>
    </row>
    <row r="29" spans="1:4" x14ac:dyDescent="0.25">
      <c r="A29" t="s">
        <v>46</v>
      </c>
      <c r="B29" t="s">
        <v>47</v>
      </c>
      <c r="C29" t="s">
        <v>48</v>
      </c>
      <c r="D29" s="2">
        <v>91</v>
      </c>
    </row>
    <row r="31" spans="1:4" x14ac:dyDescent="0.25">
      <c r="D31" s="2">
        <f>AVERAGE(D2:D29)</f>
        <v>63.469940476190466</v>
      </c>
    </row>
  </sheetData>
  <sortState xmlns:xlrd2="http://schemas.microsoft.com/office/spreadsheetml/2017/richdata2" ref="A2:D29">
    <sortCondition ref="D2:D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Muhebullah Karimzada</dc:creator>
  <cp:lastModifiedBy>Muhebullah Karimzada</cp:lastModifiedBy>
  <dcterms:created xsi:type="dcterms:W3CDTF">2026-04-20T15:33:38Z</dcterms:created>
  <dcterms:modified xsi:type="dcterms:W3CDTF">2026-05-01T23:02:36Z</dcterms:modified>
</cp:coreProperties>
</file>