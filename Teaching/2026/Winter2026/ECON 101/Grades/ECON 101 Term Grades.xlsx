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101/Grades/"/>
    </mc:Choice>
  </mc:AlternateContent>
  <xr:revisionPtr revIDLastSave="0" documentId="13_ncr:1_{ABAE1164-5E64-7647-912F-7DF786C6FAEB}" xr6:coauthVersionLast="47" xr6:coauthVersionMax="47" xr10:uidLastSave="{00000000-0000-0000-0000-000000000000}"/>
  <bookViews>
    <workbookView xWindow="160" yWindow="660" windowWidth="28480" windowHeight="17200" xr2:uid="{62B4432E-F4AF-0A4B-AB49-6600C3F91210}"/>
  </bookViews>
  <sheets>
    <sheet name="Grad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2" i="1"/>
  <c r="O66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O67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2" i="1"/>
</calcChain>
</file>

<file path=xl/sharedStrings.xml><?xml version="1.0" encoding="utf-8"?>
<sst xmlns="http://schemas.openxmlformats.org/spreadsheetml/2006/main" count="398" uniqueCount="202">
  <si>
    <t>First name</t>
  </si>
  <si>
    <t>Last name</t>
  </si>
  <si>
    <t>ID number</t>
  </si>
  <si>
    <t>Shaz Mohammed</t>
  </si>
  <si>
    <t>.</t>
  </si>
  <si>
    <t>230165469</t>
  </si>
  <si>
    <t>Chaylean</t>
  </si>
  <si>
    <t>Alexis</t>
  </si>
  <si>
    <t>230170405</t>
  </si>
  <si>
    <t>Darius</t>
  </si>
  <si>
    <t>Alfred</t>
  </si>
  <si>
    <t>230170163</t>
  </si>
  <si>
    <t>Ahaz</t>
  </si>
  <si>
    <t>Arakkal Sabu</t>
  </si>
  <si>
    <t>230162699</t>
  </si>
  <si>
    <t>Rhyan</t>
  </si>
  <si>
    <t>Barfoot</t>
  </si>
  <si>
    <t>230168689</t>
  </si>
  <si>
    <t>Lucas</t>
  </si>
  <si>
    <t>Beam</t>
  </si>
  <si>
    <t>230164906</t>
  </si>
  <si>
    <t>Charlie</t>
  </si>
  <si>
    <t>Beauvais</t>
  </si>
  <si>
    <t>230169654</t>
  </si>
  <si>
    <t>Aryan</t>
  </si>
  <si>
    <t>Bhullar</t>
  </si>
  <si>
    <t>230165884</t>
  </si>
  <si>
    <t>Gursevak</t>
  </si>
  <si>
    <t>Billing</t>
  </si>
  <si>
    <t>230159927</t>
  </si>
  <si>
    <t>Zachary</t>
  </si>
  <si>
    <t>Bredin</t>
  </si>
  <si>
    <t>230168467</t>
  </si>
  <si>
    <t>Zoe</t>
  </si>
  <si>
    <t>Broughton</t>
  </si>
  <si>
    <t>230169765</t>
  </si>
  <si>
    <t>Amy</t>
  </si>
  <si>
    <t>Caldwell</t>
  </si>
  <si>
    <t>230169305</t>
  </si>
  <si>
    <t>Ronin</t>
  </si>
  <si>
    <t>Crespeigne</t>
  </si>
  <si>
    <t>230155050</t>
  </si>
  <si>
    <t>Dani</t>
  </si>
  <si>
    <t>David</t>
  </si>
  <si>
    <t>230167395</t>
  </si>
  <si>
    <t>Piper</t>
  </si>
  <si>
    <t>Dougherty</t>
  </si>
  <si>
    <t>230166818</t>
  </si>
  <si>
    <t>Harshvardhan</t>
  </si>
  <si>
    <t>Dubey</t>
  </si>
  <si>
    <t>230165340</t>
  </si>
  <si>
    <t>Meg</t>
  </si>
  <si>
    <t>Dunham</t>
  </si>
  <si>
    <t>230163800</t>
  </si>
  <si>
    <t>Ethan</t>
  </si>
  <si>
    <t>Gilbert</t>
  </si>
  <si>
    <t>230170836</t>
  </si>
  <si>
    <t>Olivia</t>
  </si>
  <si>
    <t>Graff</t>
  </si>
  <si>
    <t>230169773</t>
  </si>
  <si>
    <t>Matt</t>
  </si>
  <si>
    <t>Henderson</t>
  </si>
  <si>
    <t>230114335</t>
  </si>
  <si>
    <t>Kenadie</t>
  </si>
  <si>
    <t>Hora</t>
  </si>
  <si>
    <t>230169107</t>
  </si>
  <si>
    <t>Kimberly</t>
  </si>
  <si>
    <t>Huggett</t>
  </si>
  <si>
    <t>230165591</t>
  </si>
  <si>
    <t>Omar</t>
  </si>
  <si>
    <t>Iqbal</t>
  </si>
  <si>
    <t>230166662</t>
  </si>
  <si>
    <t>Aaron</t>
  </si>
  <si>
    <t>Jakubowski</t>
  </si>
  <si>
    <t>230170444</t>
  </si>
  <si>
    <t>Kendrick</t>
  </si>
  <si>
    <t>Jemitola</t>
  </si>
  <si>
    <t>230162067</t>
  </si>
  <si>
    <t>Owen</t>
  </si>
  <si>
    <t>Johansen</t>
  </si>
  <si>
    <t>230169553</t>
  </si>
  <si>
    <t>Penelope</t>
  </si>
  <si>
    <t>Johnson</t>
  </si>
  <si>
    <t>230168933</t>
  </si>
  <si>
    <t>Josh</t>
  </si>
  <si>
    <t>Jordan</t>
  </si>
  <si>
    <t>230169783</t>
  </si>
  <si>
    <t>Bashar</t>
  </si>
  <si>
    <t>Kora Mohamed</t>
  </si>
  <si>
    <t>230168839</t>
  </si>
  <si>
    <t>Nathan</t>
  </si>
  <si>
    <t>Kulchitsky</t>
  </si>
  <si>
    <t>230162109</t>
  </si>
  <si>
    <t>Anson</t>
  </si>
  <si>
    <t>Lang</t>
  </si>
  <si>
    <t>230168570</t>
  </si>
  <si>
    <t>Katy</t>
  </si>
  <si>
    <t>Laupitz</t>
  </si>
  <si>
    <t>230169718</t>
  </si>
  <si>
    <t>Rajdeep</t>
  </si>
  <si>
    <t>Maghera</t>
  </si>
  <si>
    <t>230167149</t>
  </si>
  <si>
    <t>Rohit</t>
  </si>
  <si>
    <t>Malik</t>
  </si>
  <si>
    <t>230157886</t>
  </si>
  <si>
    <t>Maresha</t>
  </si>
  <si>
    <t>Manulak</t>
  </si>
  <si>
    <t>230165382</t>
  </si>
  <si>
    <t>Jacob</t>
  </si>
  <si>
    <t>McInnes</t>
  </si>
  <si>
    <t>230165417</t>
  </si>
  <si>
    <t>Maveric</t>
  </si>
  <si>
    <t>Meyers</t>
  </si>
  <si>
    <t>230170608</t>
  </si>
  <si>
    <t>Yahya</t>
  </si>
  <si>
    <t>Mohamed</t>
  </si>
  <si>
    <t>230168622</t>
  </si>
  <si>
    <t>Gabriel</t>
  </si>
  <si>
    <t>Monai</t>
  </si>
  <si>
    <t>230165195</t>
  </si>
  <si>
    <t>Koso</t>
  </si>
  <si>
    <t>Nkem-Aribodor</t>
  </si>
  <si>
    <t>230167867</t>
  </si>
  <si>
    <t>Jenna</t>
  </si>
  <si>
    <t>Peter</t>
  </si>
  <si>
    <t>230166742</t>
  </si>
  <si>
    <t>Cale</t>
  </si>
  <si>
    <t>Pharness</t>
  </si>
  <si>
    <t>230152367</t>
  </si>
  <si>
    <t>Cameron</t>
  </si>
  <si>
    <t>Pinko</t>
  </si>
  <si>
    <t>230169114</t>
  </si>
  <si>
    <t>Amar</t>
  </si>
  <si>
    <t>Powar</t>
  </si>
  <si>
    <t>230155584</t>
  </si>
  <si>
    <t>Anujith</t>
  </si>
  <si>
    <t>Prathap Rohini</t>
  </si>
  <si>
    <t>230160222</t>
  </si>
  <si>
    <t>Talya</t>
  </si>
  <si>
    <t>Rouleau</t>
  </si>
  <si>
    <t>230169768</t>
  </si>
  <si>
    <t>Evy</t>
  </si>
  <si>
    <t>Russell</t>
  </si>
  <si>
    <t>230169951</t>
  </si>
  <si>
    <t>Victoria</t>
  </si>
  <si>
    <t>Sandhu</t>
  </si>
  <si>
    <t>230169300</t>
  </si>
  <si>
    <t>Carter</t>
  </si>
  <si>
    <t>Schaeffer</t>
  </si>
  <si>
    <t>230168675</t>
  </si>
  <si>
    <t>Cole</t>
  </si>
  <si>
    <t>230151841</t>
  </si>
  <si>
    <t>Jeongwoo</t>
  </si>
  <si>
    <t>Seo</t>
  </si>
  <si>
    <t>230148202</t>
  </si>
  <si>
    <t>Shum</t>
  </si>
  <si>
    <t>230172169</t>
  </si>
  <si>
    <t>Siena</t>
  </si>
  <si>
    <t>Spencer</t>
  </si>
  <si>
    <t>230167465</t>
  </si>
  <si>
    <t>Ashwin</t>
  </si>
  <si>
    <t>Sreekant Panicker</t>
  </si>
  <si>
    <t>230159948</t>
  </si>
  <si>
    <t>Arwa</t>
  </si>
  <si>
    <t>Surani</t>
  </si>
  <si>
    <t>230167670</t>
  </si>
  <si>
    <t>Finn</t>
  </si>
  <si>
    <t>Thielmann</t>
  </si>
  <si>
    <t>230169715</t>
  </si>
  <si>
    <t>Summer</t>
  </si>
  <si>
    <t>Toor</t>
  </si>
  <si>
    <t>230169679</t>
  </si>
  <si>
    <t>Vallentgoed</t>
  </si>
  <si>
    <t>230168797</t>
  </si>
  <si>
    <t>Brady</t>
  </si>
  <si>
    <t>Van Someren</t>
  </si>
  <si>
    <t>230169366</t>
  </si>
  <si>
    <t>Ann</t>
  </si>
  <si>
    <t>Watney</t>
  </si>
  <si>
    <t>230170375</t>
  </si>
  <si>
    <t>Conan</t>
  </si>
  <si>
    <t>Wehr</t>
  </si>
  <si>
    <t>230157120</t>
  </si>
  <si>
    <t>Chloe</t>
  </si>
  <si>
    <t>Witso</t>
  </si>
  <si>
    <t>230170173</t>
  </si>
  <si>
    <t>jordan</t>
  </si>
  <si>
    <t>Wong</t>
  </si>
  <si>
    <t>230165127</t>
  </si>
  <si>
    <t>Quiz 1</t>
  </si>
  <si>
    <t xml:space="preserve">Quiz 2 </t>
  </si>
  <si>
    <t xml:space="preserve">Quiz 3 </t>
  </si>
  <si>
    <t xml:space="preserve">Quiz 4 </t>
  </si>
  <si>
    <t xml:space="preserve">Quiz 5 </t>
  </si>
  <si>
    <t>Bonus</t>
  </si>
  <si>
    <t>FE with bonus</t>
  </si>
  <si>
    <t>Quizzes Total</t>
  </si>
  <si>
    <t>FE(80)</t>
  </si>
  <si>
    <t>MT_1 (65)</t>
  </si>
  <si>
    <t>MT_2 (55)</t>
  </si>
  <si>
    <t>Final Grade</t>
  </si>
  <si>
    <t>Final Adjusted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</si>
</sst>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2">
    <xf numFmtId="0" fontId="0" fillId="0" borderId="0" xfId="0"/>
    <xf numFmtId="1" fontId="0" fillId="0" borderId="0" xfId="0" applyNumberFormat="1"/>
  </cellXfs>
  <cellStyles count="5">
    <cellStyle name="Heading" xfId="1" xr:uid="{F455C7E5-6031-5746-AA11-5444C9235B9D}"/>
    <cellStyle name="Heading1" xfId="2" xr:uid="{875BF426-45C0-3848-B505-C3919D9E9C07}"/>
    <cellStyle name="Normal" xfId="0" builtinId="0" customBuiltin="1"/>
    <cellStyle name="Result" xfId="3" xr:uid="{F8C08301-BFBD-E948-9134-10FF23328868}"/>
    <cellStyle name="Result2" xfId="4" xr:uid="{E3FF1B98-6B1C-C944-BC38-FA2E645F07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9281-88ED-224A-B01C-1619512F797F}">
  <dimension ref="A1:O67"/>
  <sheetViews>
    <sheetView tabSelected="1" workbookViewId="0">
      <selection activeCell="N3" sqref="N3"/>
    </sheetView>
  </sheetViews>
  <sheetFormatPr baseColWidth="10" defaultRowHeight="18" x14ac:dyDescent="0.25"/>
  <cols>
    <col min="13" max="13" width="12.42578125" customWidth="1"/>
    <col min="14" max="14" width="12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198</v>
      </c>
      <c r="J1" t="s">
        <v>199</v>
      </c>
      <c r="K1" t="s">
        <v>197</v>
      </c>
      <c r="L1" t="s">
        <v>194</v>
      </c>
      <c r="M1" t="s">
        <v>195</v>
      </c>
      <c r="N1" t="s">
        <v>196</v>
      </c>
      <c r="O1" t="s">
        <v>200</v>
      </c>
    </row>
    <row r="2" spans="1:15" x14ac:dyDescent="0.25">
      <c r="A2" t="s">
        <v>3</v>
      </c>
      <c r="B2" t="s">
        <v>4</v>
      </c>
      <c r="C2" t="s">
        <v>5</v>
      </c>
      <c r="D2">
        <v>6</v>
      </c>
      <c r="E2">
        <v>0</v>
      </c>
      <c r="F2">
        <v>0</v>
      </c>
      <c r="G2">
        <v>0</v>
      </c>
      <c r="H2">
        <v>0</v>
      </c>
      <c r="I2">
        <v>16</v>
      </c>
      <c r="J2">
        <v>18</v>
      </c>
      <c r="K2">
        <v>24</v>
      </c>
      <c r="L2">
        <v>0</v>
      </c>
      <c r="M2">
        <f>K2+L2</f>
        <v>24</v>
      </c>
      <c r="N2">
        <f>(SUM(D2:H2)-MIN(D2:H2))/(4*20)*10</f>
        <v>0.75</v>
      </c>
      <c r="O2" s="1">
        <f>I2/65*25+J2/55*25+M2/80*40+N2</f>
        <v>27.085664335664337</v>
      </c>
    </row>
    <row r="3" spans="1:15" x14ac:dyDescent="0.25">
      <c r="A3" t="s">
        <v>6</v>
      </c>
      <c r="B3" t="s">
        <v>7</v>
      </c>
      <c r="C3" t="s">
        <v>8</v>
      </c>
      <c r="D3">
        <v>16</v>
      </c>
      <c r="E3">
        <v>10</v>
      </c>
      <c r="F3">
        <v>9</v>
      </c>
      <c r="G3">
        <v>3</v>
      </c>
      <c r="H3">
        <v>6</v>
      </c>
      <c r="I3">
        <v>28.5</v>
      </c>
      <c r="J3">
        <v>27</v>
      </c>
      <c r="K3">
        <v>35</v>
      </c>
      <c r="L3">
        <v>4</v>
      </c>
      <c r="M3">
        <f t="shared" ref="M3:M64" si="0">K3+L3</f>
        <v>39</v>
      </c>
      <c r="N3">
        <f t="shared" ref="N2:N33" si="1">(SUM(D3:H3)-MIN(D3:H3))/(4*20)*10</f>
        <v>5.125</v>
      </c>
      <c r="O3" s="1">
        <f t="shared" ref="O3:O64" si="2">I3/65*25+J3/55*25+M3/80*40+N3</f>
        <v>47.859265734265733</v>
      </c>
    </row>
    <row r="4" spans="1:15" x14ac:dyDescent="0.25">
      <c r="A4" t="s">
        <v>9</v>
      </c>
      <c r="B4" t="s">
        <v>10</v>
      </c>
      <c r="C4" t="s">
        <v>11</v>
      </c>
      <c r="D4">
        <v>18</v>
      </c>
      <c r="E4">
        <v>13</v>
      </c>
      <c r="F4">
        <v>14</v>
      </c>
      <c r="G4">
        <v>8</v>
      </c>
      <c r="H4">
        <v>15</v>
      </c>
      <c r="I4">
        <v>50.5</v>
      </c>
      <c r="J4">
        <v>43.5</v>
      </c>
      <c r="K4">
        <v>48</v>
      </c>
      <c r="L4">
        <v>0</v>
      </c>
      <c r="M4">
        <f t="shared" si="0"/>
        <v>48</v>
      </c>
      <c r="N4">
        <f t="shared" si="1"/>
        <v>7.5</v>
      </c>
      <c r="O4" s="1">
        <f t="shared" si="2"/>
        <v>70.6958041958042</v>
      </c>
    </row>
    <row r="5" spans="1:15" x14ac:dyDescent="0.25">
      <c r="A5" t="s">
        <v>12</v>
      </c>
      <c r="B5" t="s">
        <v>13</v>
      </c>
      <c r="C5" t="s">
        <v>14</v>
      </c>
      <c r="D5">
        <v>8</v>
      </c>
      <c r="E5">
        <v>0</v>
      </c>
      <c r="F5">
        <v>0</v>
      </c>
      <c r="G5">
        <v>0</v>
      </c>
      <c r="H5">
        <v>0</v>
      </c>
      <c r="I5">
        <v>32</v>
      </c>
      <c r="J5">
        <v>24</v>
      </c>
      <c r="K5">
        <v>39</v>
      </c>
      <c r="L5">
        <v>0</v>
      </c>
      <c r="M5">
        <f t="shared" si="0"/>
        <v>39</v>
      </c>
      <c r="N5">
        <f t="shared" si="1"/>
        <v>1</v>
      </c>
      <c r="O5" s="1">
        <f t="shared" si="2"/>
        <v>43.716783216783213</v>
      </c>
    </row>
    <row r="6" spans="1:15" x14ac:dyDescent="0.25">
      <c r="A6" t="s">
        <v>15</v>
      </c>
      <c r="B6" t="s">
        <v>16</v>
      </c>
      <c r="C6" t="s">
        <v>17</v>
      </c>
      <c r="D6">
        <v>6</v>
      </c>
      <c r="E6">
        <v>7</v>
      </c>
      <c r="F6">
        <v>7</v>
      </c>
      <c r="G6">
        <v>5</v>
      </c>
      <c r="H6">
        <v>3</v>
      </c>
      <c r="I6">
        <v>25.5</v>
      </c>
      <c r="J6">
        <v>29.5</v>
      </c>
      <c r="K6">
        <v>24</v>
      </c>
      <c r="L6">
        <v>4</v>
      </c>
      <c r="M6">
        <f t="shared" si="0"/>
        <v>28</v>
      </c>
      <c r="N6">
        <f t="shared" si="1"/>
        <v>3.125</v>
      </c>
      <c r="O6" s="1">
        <f t="shared" si="2"/>
        <v>40.34178321678322</v>
      </c>
    </row>
    <row r="7" spans="1:15" x14ac:dyDescent="0.25">
      <c r="A7" t="s">
        <v>18</v>
      </c>
      <c r="B7" t="s">
        <v>19</v>
      </c>
      <c r="C7" t="s">
        <v>20</v>
      </c>
      <c r="D7">
        <v>18</v>
      </c>
      <c r="E7">
        <v>17</v>
      </c>
      <c r="F7">
        <v>18</v>
      </c>
      <c r="G7">
        <v>16</v>
      </c>
      <c r="H7">
        <v>19</v>
      </c>
      <c r="I7">
        <v>52.5</v>
      </c>
      <c r="J7">
        <v>46.5</v>
      </c>
      <c r="K7">
        <v>57</v>
      </c>
      <c r="L7">
        <v>4</v>
      </c>
      <c r="M7">
        <f t="shared" si="0"/>
        <v>61</v>
      </c>
      <c r="N7">
        <f t="shared" si="1"/>
        <v>9</v>
      </c>
      <c r="O7" s="1">
        <f t="shared" si="2"/>
        <v>80.828671328671334</v>
      </c>
    </row>
    <row r="8" spans="1:15" x14ac:dyDescent="0.25">
      <c r="A8" t="s">
        <v>21</v>
      </c>
      <c r="B8" t="s">
        <v>22</v>
      </c>
      <c r="C8" t="s">
        <v>23</v>
      </c>
      <c r="D8">
        <v>12</v>
      </c>
      <c r="E8">
        <v>15</v>
      </c>
      <c r="F8">
        <v>14</v>
      </c>
      <c r="G8">
        <v>8</v>
      </c>
      <c r="H8">
        <v>13</v>
      </c>
      <c r="I8">
        <v>41.5</v>
      </c>
      <c r="J8">
        <v>43.5</v>
      </c>
      <c r="K8">
        <v>43</v>
      </c>
      <c r="L8">
        <v>4</v>
      </c>
      <c r="M8">
        <f t="shared" si="0"/>
        <v>47</v>
      </c>
      <c r="N8">
        <f t="shared" si="1"/>
        <v>6.75</v>
      </c>
      <c r="O8" s="1">
        <f t="shared" si="2"/>
        <v>65.984265734265733</v>
      </c>
    </row>
    <row r="9" spans="1:15" x14ac:dyDescent="0.25">
      <c r="A9" t="s">
        <v>24</v>
      </c>
      <c r="B9" t="s">
        <v>25</v>
      </c>
      <c r="C9" t="s">
        <v>26</v>
      </c>
      <c r="D9">
        <v>12</v>
      </c>
      <c r="E9">
        <v>11</v>
      </c>
      <c r="F9">
        <v>9</v>
      </c>
      <c r="G9">
        <v>0</v>
      </c>
      <c r="H9">
        <v>5</v>
      </c>
      <c r="I9">
        <v>43.5</v>
      </c>
      <c r="J9">
        <v>28</v>
      </c>
      <c r="K9">
        <v>42</v>
      </c>
      <c r="L9">
        <v>0</v>
      </c>
      <c r="M9">
        <f t="shared" si="0"/>
        <v>42</v>
      </c>
      <c r="N9">
        <f t="shared" si="1"/>
        <v>4.625</v>
      </c>
      <c r="O9" s="1">
        <f t="shared" si="2"/>
        <v>55.08304195804196</v>
      </c>
    </row>
    <row r="10" spans="1:15" x14ac:dyDescent="0.25">
      <c r="A10" t="s">
        <v>27</v>
      </c>
      <c r="B10" t="s">
        <v>28</v>
      </c>
      <c r="C10" t="s">
        <v>29</v>
      </c>
      <c r="D10">
        <v>14</v>
      </c>
      <c r="E10">
        <v>18</v>
      </c>
      <c r="F10">
        <v>12</v>
      </c>
      <c r="G10">
        <v>5</v>
      </c>
      <c r="H10">
        <v>0</v>
      </c>
      <c r="I10">
        <v>42.5</v>
      </c>
      <c r="J10">
        <v>33.5</v>
      </c>
      <c r="K10">
        <v>37</v>
      </c>
      <c r="L10">
        <v>4</v>
      </c>
      <c r="M10">
        <f t="shared" si="0"/>
        <v>41</v>
      </c>
      <c r="N10">
        <f t="shared" si="1"/>
        <v>6.125</v>
      </c>
      <c r="O10" s="1">
        <f t="shared" si="2"/>
        <v>58.198426573426573</v>
      </c>
    </row>
    <row r="11" spans="1:15" x14ac:dyDescent="0.25">
      <c r="A11" t="s">
        <v>30</v>
      </c>
      <c r="B11" t="s">
        <v>31</v>
      </c>
      <c r="C11" t="s">
        <v>32</v>
      </c>
      <c r="D11">
        <v>10</v>
      </c>
      <c r="E11">
        <v>11</v>
      </c>
      <c r="F11">
        <v>11</v>
      </c>
      <c r="G11">
        <v>1</v>
      </c>
      <c r="H11">
        <v>3</v>
      </c>
      <c r="I11">
        <v>27</v>
      </c>
      <c r="J11">
        <v>24.5</v>
      </c>
      <c r="K11">
        <v>30</v>
      </c>
      <c r="L11">
        <v>4</v>
      </c>
      <c r="M11">
        <f t="shared" si="0"/>
        <v>34</v>
      </c>
      <c r="N11">
        <f t="shared" si="1"/>
        <v>4.375</v>
      </c>
      <c r="O11" s="1">
        <f t="shared" si="2"/>
        <v>42.89597902097902</v>
      </c>
    </row>
    <row r="12" spans="1:15" x14ac:dyDescent="0.25">
      <c r="A12" t="s">
        <v>33</v>
      </c>
      <c r="B12" t="s">
        <v>34</v>
      </c>
      <c r="C12" t="s">
        <v>35</v>
      </c>
      <c r="D12">
        <v>16</v>
      </c>
      <c r="E12">
        <v>0</v>
      </c>
      <c r="F12">
        <v>12</v>
      </c>
      <c r="G12">
        <v>3</v>
      </c>
      <c r="H12">
        <v>3.5</v>
      </c>
      <c r="I12">
        <v>30.5</v>
      </c>
      <c r="J12">
        <v>29.5</v>
      </c>
      <c r="K12">
        <v>37</v>
      </c>
      <c r="L12">
        <v>4</v>
      </c>
      <c r="M12">
        <f t="shared" si="0"/>
        <v>41</v>
      </c>
      <c r="N12">
        <f t="shared" si="1"/>
        <v>4.3125</v>
      </c>
      <c r="O12" s="1">
        <f t="shared" si="2"/>
        <v>49.95236013986014</v>
      </c>
    </row>
    <row r="13" spans="1:15" x14ac:dyDescent="0.25">
      <c r="A13" t="s">
        <v>36</v>
      </c>
      <c r="B13" t="s">
        <v>37</v>
      </c>
      <c r="C13" t="s">
        <v>38</v>
      </c>
      <c r="D13">
        <v>10</v>
      </c>
      <c r="E13">
        <v>14</v>
      </c>
      <c r="F13">
        <v>9</v>
      </c>
      <c r="G13">
        <v>12.5</v>
      </c>
      <c r="H13">
        <v>6</v>
      </c>
      <c r="I13">
        <v>37.5</v>
      </c>
      <c r="J13">
        <v>32.5</v>
      </c>
      <c r="K13">
        <v>45</v>
      </c>
      <c r="L13">
        <v>4</v>
      </c>
      <c r="M13">
        <f t="shared" si="0"/>
        <v>49</v>
      </c>
      <c r="N13">
        <f t="shared" si="1"/>
        <v>5.6875</v>
      </c>
      <c r="O13" s="1">
        <f t="shared" si="2"/>
        <v>59.383304195804193</v>
      </c>
    </row>
    <row r="14" spans="1:15" x14ac:dyDescent="0.25">
      <c r="A14" t="s">
        <v>39</v>
      </c>
      <c r="B14" t="s">
        <v>40</v>
      </c>
      <c r="C14" t="s">
        <v>41</v>
      </c>
      <c r="D14">
        <v>0</v>
      </c>
      <c r="E14">
        <v>0</v>
      </c>
      <c r="F14">
        <v>9</v>
      </c>
      <c r="G14">
        <v>0</v>
      </c>
      <c r="H14">
        <v>3</v>
      </c>
      <c r="I14">
        <v>37.5</v>
      </c>
      <c r="J14">
        <v>31</v>
      </c>
      <c r="K14">
        <v>46</v>
      </c>
      <c r="L14">
        <v>0</v>
      </c>
      <c r="M14">
        <f t="shared" si="0"/>
        <v>46</v>
      </c>
      <c r="N14">
        <f t="shared" si="1"/>
        <v>1.5</v>
      </c>
      <c r="O14" s="1">
        <f t="shared" si="2"/>
        <v>53.013986013986013</v>
      </c>
    </row>
    <row r="15" spans="1:15" x14ac:dyDescent="0.25">
      <c r="A15" t="s">
        <v>42</v>
      </c>
      <c r="B15" t="s">
        <v>43</v>
      </c>
      <c r="C15" t="s">
        <v>44</v>
      </c>
      <c r="D15">
        <v>12</v>
      </c>
      <c r="E15">
        <v>12</v>
      </c>
      <c r="F15">
        <v>14</v>
      </c>
      <c r="G15">
        <v>18</v>
      </c>
      <c r="H15">
        <v>18</v>
      </c>
      <c r="I15">
        <v>34.5</v>
      </c>
      <c r="J15">
        <v>28.5</v>
      </c>
      <c r="K15">
        <v>35</v>
      </c>
      <c r="L15">
        <v>4</v>
      </c>
      <c r="M15">
        <f t="shared" si="0"/>
        <v>39</v>
      </c>
      <c r="N15">
        <f t="shared" si="1"/>
        <v>7.75</v>
      </c>
      <c r="O15" s="1">
        <f t="shared" si="2"/>
        <v>53.473776223776227</v>
      </c>
    </row>
    <row r="16" spans="1:15" x14ac:dyDescent="0.25">
      <c r="A16" t="s">
        <v>45</v>
      </c>
      <c r="B16" t="s">
        <v>46</v>
      </c>
      <c r="C16" t="s">
        <v>47</v>
      </c>
      <c r="D16">
        <v>0</v>
      </c>
      <c r="E16">
        <v>7</v>
      </c>
      <c r="F16">
        <v>14</v>
      </c>
      <c r="G16">
        <v>0</v>
      </c>
      <c r="H16">
        <v>15</v>
      </c>
      <c r="I16">
        <v>49.5</v>
      </c>
      <c r="J16">
        <v>34.5</v>
      </c>
      <c r="K16">
        <v>42</v>
      </c>
      <c r="L16">
        <v>4</v>
      </c>
      <c r="M16">
        <f t="shared" si="0"/>
        <v>46</v>
      </c>
      <c r="N16">
        <f t="shared" si="1"/>
        <v>4.5</v>
      </c>
      <c r="O16" s="1">
        <f t="shared" si="2"/>
        <v>62.22027972027972</v>
      </c>
    </row>
    <row r="17" spans="1:15" x14ac:dyDescent="0.25">
      <c r="A17" t="s">
        <v>48</v>
      </c>
      <c r="B17" t="s">
        <v>49</v>
      </c>
      <c r="C17" t="s">
        <v>50</v>
      </c>
      <c r="D17">
        <v>12</v>
      </c>
      <c r="E17">
        <v>0</v>
      </c>
      <c r="F17">
        <v>0</v>
      </c>
      <c r="G17">
        <v>0</v>
      </c>
      <c r="H17">
        <v>0</v>
      </c>
      <c r="I17">
        <v>30</v>
      </c>
      <c r="J17">
        <v>30.5</v>
      </c>
      <c r="K17">
        <v>29</v>
      </c>
      <c r="L17">
        <v>4</v>
      </c>
      <c r="M17">
        <f t="shared" si="0"/>
        <v>33</v>
      </c>
      <c r="N17">
        <f t="shared" si="1"/>
        <v>1.5</v>
      </c>
      <c r="O17" s="1">
        <f t="shared" si="2"/>
        <v>43.4020979020979</v>
      </c>
    </row>
    <row r="18" spans="1:15" x14ac:dyDescent="0.25">
      <c r="A18" t="s">
        <v>51</v>
      </c>
      <c r="B18" t="s">
        <v>52</v>
      </c>
      <c r="C18" t="s">
        <v>53</v>
      </c>
      <c r="D18">
        <v>14</v>
      </c>
      <c r="E18">
        <v>15</v>
      </c>
      <c r="F18">
        <v>15</v>
      </c>
      <c r="G18">
        <v>15</v>
      </c>
      <c r="H18">
        <v>0</v>
      </c>
      <c r="I18">
        <v>54.5</v>
      </c>
      <c r="J18">
        <v>45.5</v>
      </c>
      <c r="K18">
        <v>52</v>
      </c>
      <c r="L18">
        <v>4</v>
      </c>
      <c r="M18">
        <f t="shared" si="0"/>
        <v>56</v>
      </c>
      <c r="N18">
        <f t="shared" si="1"/>
        <v>7.375</v>
      </c>
      <c r="O18" s="1">
        <f t="shared" si="2"/>
        <v>77.01835664335664</v>
      </c>
    </row>
    <row r="19" spans="1:15" x14ac:dyDescent="0.25">
      <c r="A19" t="s">
        <v>54</v>
      </c>
      <c r="B19" t="s">
        <v>55</v>
      </c>
      <c r="C19" t="s">
        <v>56</v>
      </c>
      <c r="D19">
        <v>18</v>
      </c>
      <c r="E19">
        <v>10</v>
      </c>
      <c r="F19">
        <v>11</v>
      </c>
      <c r="G19">
        <v>15</v>
      </c>
      <c r="H19">
        <v>16</v>
      </c>
      <c r="I19">
        <v>47.5</v>
      </c>
      <c r="J19">
        <v>33.5</v>
      </c>
      <c r="K19">
        <v>40</v>
      </c>
      <c r="L19">
        <v>0</v>
      </c>
      <c r="M19">
        <f t="shared" si="0"/>
        <v>40</v>
      </c>
      <c r="N19">
        <f t="shared" si="1"/>
        <v>7.5</v>
      </c>
      <c r="O19" s="1">
        <f t="shared" si="2"/>
        <v>60.996503496503493</v>
      </c>
    </row>
    <row r="20" spans="1:15" x14ac:dyDescent="0.25">
      <c r="A20" t="s">
        <v>57</v>
      </c>
      <c r="B20" t="s">
        <v>58</v>
      </c>
      <c r="C20" t="s">
        <v>59</v>
      </c>
      <c r="D20">
        <v>14</v>
      </c>
      <c r="E20">
        <v>13</v>
      </c>
      <c r="F20">
        <v>9</v>
      </c>
      <c r="G20">
        <v>9</v>
      </c>
      <c r="H20">
        <v>7</v>
      </c>
      <c r="I20">
        <v>44.5</v>
      </c>
      <c r="J20">
        <v>39.5</v>
      </c>
      <c r="K20">
        <v>51</v>
      </c>
      <c r="L20">
        <v>4</v>
      </c>
      <c r="M20">
        <f t="shared" si="0"/>
        <v>55</v>
      </c>
      <c r="N20">
        <f t="shared" si="1"/>
        <v>5.625</v>
      </c>
      <c r="O20" s="1">
        <f t="shared" si="2"/>
        <v>68.194930069930066</v>
      </c>
    </row>
    <row r="21" spans="1:15" x14ac:dyDescent="0.25">
      <c r="A21" t="s">
        <v>60</v>
      </c>
      <c r="B21" t="s">
        <v>61</v>
      </c>
      <c r="C21" t="s">
        <v>62</v>
      </c>
      <c r="D21">
        <v>0</v>
      </c>
      <c r="E21">
        <v>0</v>
      </c>
      <c r="F21">
        <v>8</v>
      </c>
      <c r="G21">
        <v>3</v>
      </c>
      <c r="H21">
        <v>4</v>
      </c>
      <c r="I21">
        <v>0</v>
      </c>
      <c r="J21">
        <v>33.5</v>
      </c>
      <c r="K21">
        <v>43</v>
      </c>
      <c r="L21">
        <v>4</v>
      </c>
      <c r="M21">
        <f t="shared" si="0"/>
        <v>47</v>
      </c>
      <c r="N21">
        <f t="shared" si="1"/>
        <v>1.875</v>
      </c>
      <c r="O21" s="1">
        <f t="shared" si="2"/>
        <v>40.602272727272727</v>
      </c>
    </row>
    <row r="22" spans="1:15" x14ac:dyDescent="0.25">
      <c r="A22" t="s">
        <v>63</v>
      </c>
      <c r="B22" t="s">
        <v>64</v>
      </c>
      <c r="C22" t="s">
        <v>65</v>
      </c>
      <c r="D22">
        <v>18</v>
      </c>
      <c r="E22">
        <v>18</v>
      </c>
      <c r="F22">
        <v>14</v>
      </c>
      <c r="G22">
        <v>19</v>
      </c>
      <c r="H22">
        <v>19</v>
      </c>
      <c r="I22">
        <v>58.5</v>
      </c>
      <c r="J22">
        <v>52.5</v>
      </c>
      <c r="K22">
        <v>53</v>
      </c>
      <c r="L22">
        <v>4</v>
      </c>
      <c r="M22">
        <f t="shared" si="0"/>
        <v>57</v>
      </c>
      <c r="N22">
        <f t="shared" si="1"/>
        <v>9.25</v>
      </c>
      <c r="O22" s="1">
        <f t="shared" si="2"/>
        <v>84.11363636363636</v>
      </c>
    </row>
    <row r="23" spans="1:15" x14ac:dyDescent="0.25">
      <c r="A23" t="s">
        <v>66</v>
      </c>
      <c r="B23" t="s">
        <v>67</v>
      </c>
      <c r="C23" t="s">
        <v>68</v>
      </c>
      <c r="D23">
        <v>20</v>
      </c>
      <c r="E23">
        <v>0</v>
      </c>
      <c r="F23">
        <v>17</v>
      </c>
      <c r="G23">
        <v>19</v>
      </c>
      <c r="H23">
        <v>16</v>
      </c>
      <c r="I23">
        <v>52.5</v>
      </c>
      <c r="J23">
        <v>40.5</v>
      </c>
      <c r="K23">
        <v>42</v>
      </c>
      <c r="L23">
        <v>4</v>
      </c>
      <c r="M23">
        <f t="shared" si="0"/>
        <v>46</v>
      </c>
      <c r="N23">
        <f t="shared" si="1"/>
        <v>9</v>
      </c>
      <c r="O23" s="1">
        <f t="shared" si="2"/>
        <v>70.6013986013986</v>
      </c>
    </row>
    <row r="24" spans="1:15" x14ac:dyDescent="0.25">
      <c r="A24" t="s">
        <v>69</v>
      </c>
      <c r="B24" t="s">
        <v>70</v>
      </c>
      <c r="C24" t="s">
        <v>71</v>
      </c>
      <c r="D24">
        <v>18</v>
      </c>
      <c r="E24">
        <v>13</v>
      </c>
      <c r="F24">
        <v>10</v>
      </c>
      <c r="G24">
        <v>15</v>
      </c>
      <c r="H24">
        <v>9</v>
      </c>
      <c r="I24">
        <v>51.5</v>
      </c>
      <c r="J24">
        <v>42.5</v>
      </c>
      <c r="K24">
        <v>50</v>
      </c>
      <c r="L24">
        <v>4</v>
      </c>
      <c r="M24">
        <f t="shared" si="0"/>
        <v>54</v>
      </c>
      <c r="N24">
        <f t="shared" si="1"/>
        <v>7</v>
      </c>
      <c r="O24" s="1">
        <f t="shared" si="2"/>
        <v>73.12587412587412</v>
      </c>
    </row>
    <row r="25" spans="1:15" x14ac:dyDescent="0.25">
      <c r="A25" t="s">
        <v>72</v>
      </c>
      <c r="B25" t="s">
        <v>73</v>
      </c>
      <c r="C25" t="s">
        <v>74</v>
      </c>
      <c r="D25">
        <v>0</v>
      </c>
      <c r="E25">
        <v>9</v>
      </c>
      <c r="F25">
        <v>11</v>
      </c>
      <c r="G25">
        <v>0</v>
      </c>
      <c r="H25">
        <v>0</v>
      </c>
      <c r="I25">
        <v>52.5</v>
      </c>
      <c r="J25">
        <v>42</v>
      </c>
      <c r="K25">
        <v>43</v>
      </c>
      <c r="L25">
        <v>4</v>
      </c>
      <c r="M25">
        <f t="shared" si="0"/>
        <v>47</v>
      </c>
      <c r="N25">
        <f t="shared" si="1"/>
        <v>2.5</v>
      </c>
      <c r="O25" s="1">
        <f t="shared" si="2"/>
        <v>65.283216783216787</v>
      </c>
    </row>
    <row r="26" spans="1:15" x14ac:dyDescent="0.25">
      <c r="A26" t="s">
        <v>75</v>
      </c>
      <c r="B26" t="s">
        <v>76</v>
      </c>
      <c r="C26" t="s">
        <v>77</v>
      </c>
      <c r="D26">
        <v>12</v>
      </c>
      <c r="E26">
        <v>6</v>
      </c>
      <c r="F26">
        <v>10</v>
      </c>
      <c r="G26">
        <v>5</v>
      </c>
      <c r="H26">
        <v>2</v>
      </c>
      <c r="I26">
        <v>32.5</v>
      </c>
      <c r="J26">
        <v>22</v>
      </c>
      <c r="K26">
        <v>27</v>
      </c>
      <c r="L26">
        <v>0</v>
      </c>
      <c r="M26">
        <f t="shared" si="0"/>
        <v>27</v>
      </c>
      <c r="N26">
        <f t="shared" si="1"/>
        <v>4.125</v>
      </c>
      <c r="O26" s="1">
        <f t="shared" si="2"/>
        <v>40.125</v>
      </c>
    </row>
    <row r="27" spans="1:15" x14ac:dyDescent="0.25">
      <c r="A27" t="s">
        <v>78</v>
      </c>
      <c r="B27" t="s">
        <v>79</v>
      </c>
      <c r="C27" t="s">
        <v>80</v>
      </c>
      <c r="D27">
        <v>14</v>
      </c>
      <c r="E27">
        <v>6</v>
      </c>
      <c r="F27">
        <v>6</v>
      </c>
      <c r="G27">
        <v>1</v>
      </c>
      <c r="H27">
        <v>3</v>
      </c>
      <c r="I27">
        <v>21.5</v>
      </c>
      <c r="J27">
        <v>21</v>
      </c>
      <c r="K27">
        <v>14</v>
      </c>
      <c r="L27">
        <v>4</v>
      </c>
      <c r="M27">
        <f t="shared" si="0"/>
        <v>18</v>
      </c>
      <c r="N27">
        <f t="shared" si="1"/>
        <v>3.625</v>
      </c>
      <c r="O27" s="1">
        <f t="shared" si="2"/>
        <v>30.439685314685313</v>
      </c>
    </row>
    <row r="28" spans="1:15" x14ac:dyDescent="0.25">
      <c r="A28" t="s">
        <v>81</v>
      </c>
      <c r="B28" t="s">
        <v>82</v>
      </c>
      <c r="C28" t="s">
        <v>83</v>
      </c>
      <c r="D28">
        <v>12</v>
      </c>
      <c r="E28">
        <v>9</v>
      </c>
      <c r="F28">
        <v>13</v>
      </c>
      <c r="G28">
        <v>15</v>
      </c>
      <c r="H28">
        <v>7</v>
      </c>
      <c r="I28">
        <v>43.5</v>
      </c>
      <c r="J28">
        <v>30.5</v>
      </c>
      <c r="K28">
        <v>32</v>
      </c>
      <c r="L28">
        <v>4</v>
      </c>
      <c r="M28">
        <f t="shared" si="0"/>
        <v>36</v>
      </c>
      <c r="N28">
        <f t="shared" si="1"/>
        <v>6.125</v>
      </c>
      <c r="O28" s="1">
        <f t="shared" si="2"/>
        <v>54.719405594405593</v>
      </c>
    </row>
    <row r="29" spans="1:15" x14ac:dyDescent="0.25">
      <c r="A29" t="s">
        <v>84</v>
      </c>
      <c r="B29" t="s">
        <v>85</v>
      </c>
      <c r="C29" t="s">
        <v>86</v>
      </c>
      <c r="D29">
        <v>16</v>
      </c>
      <c r="E29">
        <v>15</v>
      </c>
      <c r="F29">
        <v>9</v>
      </c>
      <c r="G29">
        <v>15</v>
      </c>
      <c r="H29">
        <v>0</v>
      </c>
      <c r="I29">
        <v>32.5</v>
      </c>
      <c r="J29">
        <v>31</v>
      </c>
      <c r="K29">
        <v>36</v>
      </c>
      <c r="L29">
        <v>4</v>
      </c>
      <c r="M29">
        <f t="shared" si="0"/>
        <v>40</v>
      </c>
      <c r="N29">
        <f t="shared" si="1"/>
        <v>6.875</v>
      </c>
      <c r="O29" s="1">
        <f t="shared" si="2"/>
        <v>53.465909090909093</v>
      </c>
    </row>
    <row r="30" spans="1:15" x14ac:dyDescent="0.25">
      <c r="A30" t="s">
        <v>87</v>
      </c>
      <c r="B30" t="s">
        <v>88</v>
      </c>
      <c r="C30" t="s">
        <v>89</v>
      </c>
      <c r="D30">
        <v>20</v>
      </c>
      <c r="E30">
        <v>16</v>
      </c>
      <c r="F30">
        <v>6</v>
      </c>
      <c r="G30">
        <v>6.5</v>
      </c>
      <c r="H30">
        <v>13</v>
      </c>
      <c r="I30">
        <v>42.5</v>
      </c>
      <c r="J30">
        <v>29.5</v>
      </c>
      <c r="K30">
        <v>38</v>
      </c>
      <c r="L30">
        <v>4</v>
      </c>
      <c r="M30">
        <f t="shared" si="0"/>
        <v>42</v>
      </c>
      <c r="N30">
        <f t="shared" si="1"/>
        <v>6.9375</v>
      </c>
      <c r="O30" s="1">
        <f t="shared" si="2"/>
        <v>57.69274475524476</v>
      </c>
    </row>
    <row r="31" spans="1:15" x14ac:dyDescent="0.25">
      <c r="A31" t="s">
        <v>90</v>
      </c>
      <c r="B31" t="s">
        <v>91</v>
      </c>
      <c r="C31" t="s">
        <v>92</v>
      </c>
      <c r="D31">
        <v>16</v>
      </c>
      <c r="E31">
        <v>17</v>
      </c>
      <c r="F31">
        <v>11</v>
      </c>
      <c r="G31">
        <v>14</v>
      </c>
      <c r="H31">
        <v>0</v>
      </c>
      <c r="I31">
        <v>53.5</v>
      </c>
      <c r="J31">
        <v>41.5</v>
      </c>
      <c r="K31">
        <v>41</v>
      </c>
      <c r="L31">
        <v>4</v>
      </c>
      <c r="M31">
        <f t="shared" si="0"/>
        <v>45</v>
      </c>
      <c r="N31">
        <f t="shared" si="1"/>
        <v>7.25</v>
      </c>
      <c r="O31" s="1">
        <f t="shared" si="2"/>
        <v>69.19055944055944</v>
      </c>
    </row>
    <row r="32" spans="1:15" x14ac:dyDescent="0.25">
      <c r="A32" t="s">
        <v>93</v>
      </c>
      <c r="B32" t="s">
        <v>94</v>
      </c>
      <c r="C32" t="s">
        <v>95</v>
      </c>
      <c r="D32">
        <v>0</v>
      </c>
      <c r="E32">
        <v>0</v>
      </c>
      <c r="F32">
        <v>0</v>
      </c>
      <c r="G32">
        <v>0</v>
      </c>
      <c r="H32">
        <v>0</v>
      </c>
      <c r="I32">
        <v>40.5</v>
      </c>
      <c r="J32">
        <v>36.5</v>
      </c>
      <c r="K32">
        <v>38</v>
      </c>
      <c r="L32">
        <v>0</v>
      </c>
      <c r="M32">
        <f t="shared" si="0"/>
        <v>38</v>
      </c>
      <c r="N32">
        <f t="shared" si="1"/>
        <v>0</v>
      </c>
      <c r="O32" s="1">
        <f t="shared" si="2"/>
        <v>51.167832167832174</v>
      </c>
    </row>
    <row r="33" spans="1:15" x14ac:dyDescent="0.25">
      <c r="A33" t="s">
        <v>96</v>
      </c>
      <c r="B33" t="s">
        <v>97</v>
      </c>
      <c r="C33" t="s">
        <v>98</v>
      </c>
      <c r="D33">
        <v>18</v>
      </c>
      <c r="E33">
        <v>6</v>
      </c>
      <c r="F33">
        <v>4</v>
      </c>
      <c r="G33">
        <v>2</v>
      </c>
      <c r="H33">
        <v>2</v>
      </c>
      <c r="I33">
        <v>34.5</v>
      </c>
      <c r="J33">
        <v>23.5</v>
      </c>
      <c r="K33">
        <v>31</v>
      </c>
      <c r="L33">
        <v>4</v>
      </c>
      <c r="M33">
        <f t="shared" si="0"/>
        <v>35</v>
      </c>
      <c r="N33">
        <f t="shared" si="1"/>
        <v>3.75</v>
      </c>
      <c r="O33" s="1">
        <f t="shared" si="2"/>
        <v>45.201048951048953</v>
      </c>
    </row>
    <row r="34" spans="1:15" x14ac:dyDescent="0.25">
      <c r="A34" t="s">
        <v>99</v>
      </c>
      <c r="B34" t="s">
        <v>100</v>
      </c>
      <c r="C34" t="s">
        <v>101</v>
      </c>
      <c r="D34">
        <v>20</v>
      </c>
      <c r="E34">
        <v>17</v>
      </c>
      <c r="F34">
        <v>18</v>
      </c>
      <c r="G34">
        <v>16</v>
      </c>
      <c r="H34">
        <v>18</v>
      </c>
      <c r="I34">
        <v>49.5</v>
      </c>
      <c r="J34">
        <v>44.5</v>
      </c>
      <c r="K34">
        <v>54</v>
      </c>
      <c r="L34">
        <v>4</v>
      </c>
      <c r="M34">
        <f t="shared" si="0"/>
        <v>58</v>
      </c>
      <c r="N34">
        <f t="shared" ref="N34:N64" si="3">(SUM(D34:H34)-MIN(D34:H34))/(4*20)*10</f>
        <v>9.125</v>
      </c>
      <c r="O34" s="1">
        <f t="shared" si="2"/>
        <v>77.390734265734267</v>
      </c>
    </row>
    <row r="35" spans="1:15" x14ac:dyDescent="0.25">
      <c r="A35" t="s">
        <v>102</v>
      </c>
      <c r="B35" t="s">
        <v>103</v>
      </c>
      <c r="C35" t="s">
        <v>104</v>
      </c>
      <c r="D35">
        <v>0</v>
      </c>
      <c r="E35">
        <v>11</v>
      </c>
      <c r="F35">
        <v>11</v>
      </c>
      <c r="G35">
        <v>0</v>
      </c>
      <c r="H35">
        <v>3</v>
      </c>
      <c r="I35">
        <v>32.5</v>
      </c>
      <c r="J35">
        <v>30.5</v>
      </c>
      <c r="K35">
        <v>31</v>
      </c>
      <c r="L35">
        <v>4</v>
      </c>
      <c r="M35">
        <f t="shared" si="0"/>
        <v>35</v>
      </c>
      <c r="N35">
        <f t="shared" si="3"/>
        <v>3.125</v>
      </c>
      <c r="O35" s="1">
        <f t="shared" si="2"/>
        <v>46.98863636363636</v>
      </c>
    </row>
    <row r="36" spans="1:15" x14ac:dyDescent="0.25">
      <c r="A36" t="s">
        <v>105</v>
      </c>
      <c r="B36" t="s">
        <v>106</v>
      </c>
      <c r="C36" t="s">
        <v>107</v>
      </c>
      <c r="D36">
        <v>14</v>
      </c>
      <c r="E36">
        <v>12</v>
      </c>
      <c r="F36">
        <v>9</v>
      </c>
      <c r="G36">
        <v>1</v>
      </c>
      <c r="H36">
        <v>5</v>
      </c>
      <c r="I36">
        <v>38.5</v>
      </c>
      <c r="J36">
        <v>31.5</v>
      </c>
      <c r="K36">
        <v>34</v>
      </c>
      <c r="L36">
        <v>4</v>
      </c>
      <c r="M36">
        <f t="shared" si="0"/>
        <v>38</v>
      </c>
      <c r="N36">
        <f t="shared" si="3"/>
        <v>5</v>
      </c>
      <c r="O36" s="1">
        <f t="shared" si="2"/>
        <v>53.125874125874127</v>
      </c>
    </row>
    <row r="37" spans="1:15" x14ac:dyDescent="0.25">
      <c r="A37" t="s">
        <v>108</v>
      </c>
      <c r="B37" t="s">
        <v>109</v>
      </c>
      <c r="C37" t="s">
        <v>110</v>
      </c>
      <c r="D37">
        <v>16</v>
      </c>
      <c r="E37">
        <v>17</v>
      </c>
      <c r="F37">
        <v>4</v>
      </c>
      <c r="G37">
        <v>3</v>
      </c>
      <c r="H37">
        <v>7</v>
      </c>
      <c r="I37">
        <v>33.5</v>
      </c>
      <c r="J37">
        <v>28.5</v>
      </c>
      <c r="K37">
        <v>30</v>
      </c>
      <c r="L37">
        <v>4</v>
      </c>
      <c r="M37">
        <f t="shared" si="0"/>
        <v>34</v>
      </c>
      <c r="N37">
        <f t="shared" si="3"/>
        <v>5.5</v>
      </c>
      <c r="O37" s="1">
        <f t="shared" si="2"/>
        <v>48.33916083916084</v>
      </c>
    </row>
    <row r="38" spans="1:15" x14ac:dyDescent="0.25">
      <c r="A38" t="s">
        <v>111</v>
      </c>
      <c r="B38" t="s">
        <v>112</v>
      </c>
      <c r="C38" t="s">
        <v>113</v>
      </c>
      <c r="D38">
        <v>16</v>
      </c>
      <c r="E38">
        <v>14</v>
      </c>
      <c r="F38">
        <v>12</v>
      </c>
      <c r="G38">
        <v>0</v>
      </c>
      <c r="H38">
        <v>4</v>
      </c>
      <c r="I38">
        <v>32.5</v>
      </c>
      <c r="J38">
        <v>27.5</v>
      </c>
      <c r="K38">
        <v>37</v>
      </c>
      <c r="L38">
        <v>0</v>
      </c>
      <c r="M38">
        <f t="shared" si="0"/>
        <v>37</v>
      </c>
      <c r="N38">
        <f t="shared" si="3"/>
        <v>5.75</v>
      </c>
      <c r="O38" s="1">
        <f t="shared" si="2"/>
        <v>49.25</v>
      </c>
    </row>
    <row r="39" spans="1:15" x14ac:dyDescent="0.25">
      <c r="A39" t="s">
        <v>114</v>
      </c>
      <c r="B39" t="s">
        <v>115</v>
      </c>
      <c r="C39" t="s">
        <v>116</v>
      </c>
      <c r="D39">
        <v>18</v>
      </c>
      <c r="E39">
        <v>15</v>
      </c>
      <c r="F39">
        <v>11</v>
      </c>
      <c r="G39">
        <v>0</v>
      </c>
      <c r="H39">
        <v>6</v>
      </c>
      <c r="I39">
        <v>51.5</v>
      </c>
      <c r="J39">
        <v>32.5</v>
      </c>
      <c r="K39">
        <v>40</v>
      </c>
      <c r="L39">
        <v>4</v>
      </c>
      <c r="M39">
        <f t="shared" si="0"/>
        <v>44</v>
      </c>
      <c r="N39">
        <f t="shared" si="3"/>
        <v>6.25</v>
      </c>
      <c r="O39" s="1">
        <f t="shared" si="2"/>
        <v>62.83041958041958</v>
      </c>
    </row>
    <row r="40" spans="1:15" x14ac:dyDescent="0.25">
      <c r="A40" t="s">
        <v>117</v>
      </c>
      <c r="B40" t="s">
        <v>118</v>
      </c>
      <c r="C40" t="s">
        <v>119</v>
      </c>
      <c r="D40">
        <v>20</v>
      </c>
      <c r="E40">
        <v>16</v>
      </c>
      <c r="F40">
        <v>12</v>
      </c>
      <c r="G40">
        <v>9</v>
      </c>
      <c r="H40">
        <v>6</v>
      </c>
      <c r="I40">
        <v>54.5</v>
      </c>
      <c r="J40">
        <v>45</v>
      </c>
      <c r="K40">
        <v>39</v>
      </c>
      <c r="L40">
        <v>4</v>
      </c>
      <c r="M40">
        <f t="shared" si="0"/>
        <v>43</v>
      </c>
      <c r="N40">
        <f t="shared" si="3"/>
        <v>7.125</v>
      </c>
      <c r="O40" s="1">
        <f t="shared" si="2"/>
        <v>70.04108391608392</v>
      </c>
    </row>
    <row r="41" spans="1:15" x14ac:dyDescent="0.25">
      <c r="A41" t="s">
        <v>120</v>
      </c>
      <c r="B41" t="s">
        <v>121</v>
      </c>
      <c r="C41" t="s">
        <v>122</v>
      </c>
      <c r="D41">
        <v>18</v>
      </c>
      <c r="E41">
        <v>17</v>
      </c>
      <c r="F41">
        <v>13</v>
      </c>
      <c r="G41">
        <v>18</v>
      </c>
      <c r="H41">
        <v>18</v>
      </c>
      <c r="I41">
        <v>32</v>
      </c>
      <c r="J41">
        <v>21.5</v>
      </c>
      <c r="K41">
        <v>37</v>
      </c>
      <c r="L41">
        <v>4</v>
      </c>
      <c r="M41">
        <f t="shared" si="0"/>
        <v>41</v>
      </c>
      <c r="N41">
        <f t="shared" si="3"/>
        <v>8.875</v>
      </c>
      <c r="O41" s="1">
        <f t="shared" si="2"/>
        <v>51.45541958041958</v>
      </c>
    </row>
    <row r="42" spans="1:15" x14ac:dyDescent="0.25">
      <c r="A42" t="s">
        <v>123</v>
      </c>
      <c r="B42" t="s">
        <v>124</v>
      </c>
      <c r="C42" t="s">
        <v>125</v>
      </c>
      <c r="D42">
        <v>12</v>
      </c>
      <c r="E42">
        <v>13</v>
      </c>
      <c r="F42">
        <v>13</v>
      </c>
      <c r="G42">
        <v>5</v>
      </c>
      <c r="H42">
        <v>3</v>
      </c>
      <c r="I42">
        <v>34.5</v>
      </c>
      <c r="J42">
        <v>35.5</v>
      </c>
      <c r="K42">
        <v>37</v>
      </c>
      <c r="L42">
        <v>4</v>
      </c>
      <c r="M42">
        <f t="shared" si="0"/>
        <v>41</v>
      </c>
      <c r="N42">
        <f t="shared" si="3"/>
        <v>5.375</v>
      </c>
      <c r="O42" s="1">
        <f t="shared" si="2"/>
        <v>55.280594405594407</v>
      </c>
    </row>
    <row r="43" spans="1:15" x14ac:dyDescent="0.25">
      <c r="A43" t="s">
        <v>126</v>
      </c>
      <c r="B43" t="s">
        <v>127</v>
      </c>
      <c r="C43" t="s">
        <v>128</v>
      </c>
      <c r="D43">
        <v>16</v>
      </c>
      <c r="E43">
        <v>0</v>
      </c>
      <c r="F43">
        <v>9</v>
      </c>
      <c r="G43">
        <v>14</v>
      </c>
      <c r="H43">
        <v>0</v>
      </c>
      <c r="I43">
        <v>36</v>
      </c>
      <c r="J43">
        <v>31.5</v>
      </c>
      <c r="K43">
        <v>37</v>
      </c>
      <c r="L43">
        <v>4</v>
      </c>
      <c r="M43">
        <f t="shared" si="0"/>
        <v>41</v>
      </c>
      <c r="N43">
        <f t="shared" si="3"/>
        <v>4.875</v>
      </c>
      <c r="O43" s="1">
        <f t="shared" si="2"/>
        <v>53.539335664335667</v>
      </c>
    </row>
    <row r="44" spans="1:15" x14ac:dyDescent="0.25">
      <c r="A44" t="s">
        <v>129</v>
      </c>
      <c r="B44" t="s">
        <v>130</v>
      </c>
      <c r="C44" t="s">
        <v>131</v>
      </c>
      <c r="D44">
        <v>15</v>
      </c>
      <c r="E44">
        <v>15</v>
      </c>
      <c r="F44">
        <v>14</v>
      </c>
      <c r="G44">
        <v>4</v>
      </c>
      <c r="H44">
        <v>6</v>
      </c>
      <c r="I44">
        <v>40.5</v>
      </c>
      <c r="J44">
        <v>32.5</v>
      </c>
      <c r="K44">
        <v>36</v>
      </c>
      <c r="L44">
        <v>4</v>
      </c>
      <c r="M44">
        <f t="shared" si="0"/>
        <v>40</v>
      </c>
      <c r="N44">
        <f t="shared" si="3"/>
        <v>6.25</v>
      </c>
      <c r="O44" s="1">
        <f t="shared" si="2"/>
        <v>56.599650349650346</v>
      </c>
    </row>
    <row r="45" spans="1:15" x14ac:dyDescent="0.25">
      <c r="A45" t="s">
        <v>132</v>
      </c>
      <c r="B45" t="s">
        <v>133</v>
      </c>
      <c r="C45" t="s">
        <v>134</v>
      </c>
      <c r="D45">
        <v>12</v>
      </c>
      <c r="E45">
        <v>6</v>
      </c>
      <c r="F45">
        <v>12</v>
      </c>
      <c r="G45">
        <v>5</v>
      </c>
      <c r="H45">
        <v>2</v>
      </c>
      <c r="I45">
        <v>37.5</v>
      </c>
      <c r="J45">
        <v>32.5</v>
      </c>
      <c r="K45">
        <v>18</v>
      </c>
      <c r="L45">
        <v>4</v>
      </c>
      <c r="M45">
        <f t="shared" si="0"/>
        <v>22</v>
      </c>
      <c r="N45">
        <f t="shared" si="3"/>
        <v>4.375</v>
      </c>
      <c r="O45" s="1">
        <f t="shared" si="2"/>
        <v>44.570804195804193</v>
      </c>
    </row>
    <row r="46" spans="1:15" x14ac:dyDescent="0.25">
      <c r="A46" t="s">
        <v>135</v>
      </c>
      <c r="B46" t="s">
        <v>136</v>
      </c>
      <c r="C46" t="s">
        <v>137</v>
      </c>
      <c r="D46">
        <v>0</v>
      </c>
      <c r="E46">
        <v>11</v>
      </c>
      <c r="F46">
        <v>14</v>
      </c>
      <c r="G46">
        <v>9</v>
      </c>
      <c r="H46">
        <v>2</v>
      </c>
      <c r="I46">
        <v>35.5</v>
      </c>
      <c r="J46">
        <v>26.5</v>
      </c>
      <c r="K46">
        <v>29</v>
      </c>
      <c r="L46">
        <v>4</v>
      </c>
      <c r="M46">
        <f t="shared" si="0"/>
        <v>33</v>
      </c>
      <c r="N46">
        <f t="shared" si="3"/>
        <v>4.5</v>
      </c>
      <c r="O46" s="1">
        <f t="shared" si="2"/>
        <v>46.6993006993007</v>
      </c>
    </row>
    <row r="47" spans="1:15" x14ac:dyDescent="0.25">
      <c r="A47" t="s">
        <v>138</v>
      </c>
      <c r="B47" t="s">
        <v>139</v>
      </c>
      <c r="C47" t="s">
        <v>140</v>
      </c>
      <c r="D47">
        <v>18</v>
      </c>
      <c r="E47">
        <v>15</v>
      </c>
      <c r="F47">
        <v>14</v>
      </c>
      <c r="G47">
        <v>15</v>
      </c>
      <c r="H47">
        <v>15</v>
      </c>
      <c r="I47">
        <v>51.5</v>
      </c>
      <c r="J47">
        <v>45.5</v>
      </c>
      <c r="K47">
        <v>41</v>
      </c>
      <c r="L47">
        <v>4</v>
      </c>
      <c r="M47">
        <f t="shared" si="0"/>
        <v>45</v>
      </c>
      <c r="N47">
        <f t="shared" si="3"/>
        <v>7.875</v>
      </c>
      <c r="O47" s="1">
        <f t="shared" si="2"/>
        <v>70.864510489510494</v>
      </c>
    </row>
    <row r="48" spans="1:15" x14ac:dyDescent="0.25">
      <c r="A48" t="s">
        <v>141</v>
      </c>
      <c r="B48" t="s">
        <v>142</v>
      </c>
      <c r="C48" t="s">
        <v>143</v>
      </c>
      <c r="D48">
        <v>20</v>
      </c>
      <c r="E48">
        <v>10</v>
      </c>
      <c r="F48">
        <v>8</v>
      </c>
      <c r="G48">
        <v>0</v>
      </c>
      <c r="H48">
        <v>0</v>
      </c>
      <c r="I48">
        <v>34.5</v>
      </c>
      <c r="J48">
        <v>26</v>
      </c>
      <c r="K48">
        <v>37</v>
      </c>
      <c r="L48">
        <v>4</v>
      </c>
      <c r="M48">
        <f t="shared" si="0"/>
        <v>41</v>
      </c>
      <c r="N48">
        <f t="shared" si="3"/>
        <v>4.75</v>
      </c>
      <c r="O48" s="1">
        <f t="shared" si="2"/>
        <v>50.337412587412587</v>
      </c>
    </row>
    <row r="49" spans="1:15" x14ac:dyDescent="0.25">
      <c r="A49" t="s">
        <v>144</v>
      </c>
      <c r="B49" t="s">
        <v>145</v>
      </c>
      <c r="C49" t="s">
        <v>146</v>
      </c>
      <c r="D49">
        <v>12</v>
      </c>
      <c r="E49">
        <v>12</v>
      </c>
      <c r="F49">
        <v>9</v>
      </c>
      <c r="G49">
        <v>4</v>
      </c>
      <c r="H49">
        <v>15</v>
      </c>
      <c r="I49">
        <v>37.5</v>
      </c>
      <c r="J49">
        <v>38.5</v>
      </c>
      <c r="K49">
        <v>30</v>
      </c>
      <c r="L49">
        <v>4</v>
      </c>
      <c r="M49">
        <f t="shared" si="0"/>
        <v>34</v>
      </c>
      <c r="N49">
        <f t="shared" si="3"/>
        <v>6</v>
      </c>
      <c r="O49" s="1">
        <f t="shared" si="2"/>
        <v>54.92307692307692</v>
      </c>
    </row>
    <row r="50" spans="1:15" x14ac:dyDescent="0.25">
      <c r="A50" t="s">
        <v>147</v>
      </c>
      <c r="B50" t="s">
        <v>148</v>
      </c>
      <c r="C50" t="s">
        <v>149</v>
      </c>
      <c r="D50">
        <v>16</v>
      </c>
      <c r="E50">
        <v>0</v>
      </c>
      <c r="F50">
        <v>8</v>
      </c>
      <c r="G50">
        <v>0</v>
      </c>
      <c r="H50">
        <v>0</v>
      </c>
      <c r="I50">
        <v>37.5</v>
      </c>
      <c r="J50">
        <v>29</v>
      </c>
      <c r="K50">
        <v>34</v>
      </c>
      <c r="L50">
        <v>4</v>
      </c>
      <c r="M50">
        <f t="shared" si="0"/>
        <v>38</v>
      </c>
      <c r="N50">
        <f t="shared" si="3"/>
        <v>3</v>
      </c>
      <c r="O50" s="1">
        <f t="shared" si="2"/>
        <v>49.6048951048951</v>
      </c>
    </row>
    <row r="51" spans="1:15" x14ac:dyDescent="0.25">
      <c r="A51" t="s">
        <v>150</v>
      </c>
      <c r="B51" t="s">
        <v>148</v>
      </c>
      <c r="C51" t="s">
        <v>151</v>
      </c>
      <c r="D51">
        <v>20</v>
      </c>
      <c r="E51">
        <v>16</v>
      </c>
      <c r="F51">
        <v>15</v>
      </c>
      <c r="G51">
        <v>0</v>
      </c>
      <c r="H51">
        <v>12</v>
      </c>
      <c r="I51">
        <v>46.5</v>
      </c>
      <c r="J51">
        <v>39.5</v>
      </c>
      <c r="K51">
        <v>48</v>
      </c>
      <c r="L51">
        <v>4</v>
      </c>
      <c r="M51">
        <f t="shared" si="0"/>
        <v>52</v>
      </c>
      <c r="N51">
        <f t="shared" si="3"/>
        <v>7.875</v>
      </c>
      <c r="O51" s="1">
        <f t="shared" si="2"/>
        <v>69.71416083916084</v>
      </c>
    </row>
    <row r="52" spans="1:15" x14ac:dyDescent="0.25">
      <c r="A52" t="s">
        <v>152</v>
      </c>
      <c r="B52" t="s">
        <v>153</v>
      </c>
      <c r="C52" t="s">
        <v>154</v>
      </c>
      <c r="D52">
        <v>20</v>
      </c>
      <c r="E52">
        <v>18</v>
      </c>
      <c r="F52">
        <v>18</v>
      </c>
      <c r="G52">
        <v>20</v>
      </c>
      <c r="H52">
        <v>20</v>
      </c>
      <c r="I52">
        <v>43.5</v>
      </c>
      <c r="J52">
        <v>45.5</v>
      </c>
      <c r="K52">
        <v>48</v>
      </c>
      <c r="L52">
        <v>4</v>
      </c>
      <c r="M52">
        <f t="shared" si="0"/>
        <v>52</v>
      </c>
      <c r="N52">
        <f t="shared" si="3"/>
        <v>9.75</v>
      </c>
      <c r="O52" s="1">
        <f t="shared" si="2"/>
        <v>73.162587412587413</v>
      </c>
    </row>
    <row r="53" spans="1:15" x14ac:dyDescent="0.25">
      <c r="A53" t="s">
        <v>78</v>
      </c>
      <c r="B53" t="s">
        <v>155</v>
      </c>
      <c r="C53" t="s">
        <v>156</v>
      </c>
      <c r="D53">
        <v>18</v>
      </c>
      <c r="E53">
        <v>16</v>
      </c>
      <c r="F53">
        <v>0</v>
      </c>
      <c r="G53">
        <v>0</v>
      </c>
      <c r="H53">
        <v>0</v>
      </c>
      <c r="I53">
        <v>45.5</v>
      </c>
      <c r="J53">
        <v>31</v>
      </c>
      <c r="K53">
        <v>40</v>
      </c>
      <c r="L53">
        <v>0</v>
      </c>
      <c r="M53">
        <f t="shared" si="0"/>
        <v>40</v>
      </c>
      <c r="N53">
        <f t="shared" si="3"/>
        <v>4.25</v>
      </c>
      <c r="O53" s="1">
        <f t="shared" si="2"/>
        <v>55.840909090909093</v>
      </c>
    </row>
    <row r="54" spans="1:15" x14ac:dyDescent="0.25">
      <c r="A54" t="s">
        <v>157</v>
      </c>
      <c r="B54" t="s">
        <v>158</v>
      </c>
      <c r="C54" t="s">
        <v>159</v>
      </c>
      <c r="D54">
        <v>14</v>
      </c>
      <c r="E54">
        <v>6</v>
      </c>
      <c r="F54">
        <v>9</v>
      </c>
      <c r="G54">
        <v>5</v>
      </c>
      <c r="H54">
        <v>6</v>
      </c>
      <c r="I54">
        <v>34.5</v>
      </c>
      <c r="J54">
        <v>31.5</v>
      </c>
      <c r="K54">
        <v>38</v>
      </c>
      <c r="L54">
        <v>4</v>
      </c>
      <c r="M54">
        <f t="shared" si="0"/>
        <v>42</v>
      </c>
      <c r="N54">
        <f t="shared" si="3"/>
        <v>4.375</v>
      </c>
      <c r="O54" s="1">
        <f t="shared" si="2"/>
        <v>52.962412587412587</v>
      </c>
    </row>
    <row r="55" spans="1:15" x14ac:dyDescent="0.25">
      <c r="A55" t="s">
        <v>160</v>
      </c>
      <c r="B55" t="s">
        <v>161</v>
      </c>
      <c r="C55" t="s">
        <v>162</v>
      </c>
      <c r="D55">
        <v>0</v>
      </c>
      <c r="E55">
        <v>13</v>
      </c>
      <c r="F55">
        <v>0</v>
      </c>
      <c r="G55">
        <v>12</v>
      </c>
      <c r="H55">
        <v>5.5</v>
      </c>
      <c r="I55">
        <v>43.5</v>
      </c>
      <c r="J55">
        <v>19</v>
      </c>
      <c r="K55">
        <v>34</v>
      </c>
      <c r="L55">
        <v>0</v>
      </c>
      <c r="M55">
        <f t="shared" si="0"/>
        <v>34</v>
      </c>
      <c r="N55">
        <f t="shared" si="3"/>
        <v>3.8125</v>
      </c>
      <c r="O55" s="1">
        <f t="shared" si="2"/>
        <v>46.179632867132867</v>
      </c>
    </row>
    <row r="56" spans="1:15" x14ac:dyDescent="0.25">
      <c r="A56" t="s">
        <v>163</v>
      </c>
      <c r="B56" t="s">
        <v>164</v>
      </c>
      <c r="C56" t="s">
        <v>165</v>
      </c>
      <c r="D56">
        <v>18</v>
      </c>
      <c r="E56">
        <v>17</v>
      </c>
      <c r="F56">
        <v>20</v>
      </c>
      <c r="G56">
        <v>0</v>
      </c>
      <c r="H56">
        <v>11</v>
      </c>
      <c r="I56">
        <v>50.5</v>
      </c>
      <c r="J56">
        <v>42.5</v>
      </c>
      <c r="K56">
        <v>46</v>
      </c>
      <c r="L56">
        <v>0</v>
      </c>
      <c r="M56">
        <f t="shared" si="0"/>
        <v>46</v>
      </c>
      <c r="N56">
        <f t="shared" si="3"/>
        <v>8.25</v>
      </c>
      <c r="O56" s="1">
        <f t="shared" si="2"/>
        <v>69.991258741258747</v>
      </c>
    </row>
    <row r="57" spans="1:15" x14ac:dyDescent="0.25">
      <c r="A57" t="s">
        <v>166</v>
      </c>
      <c r="B57" t="s">
        <v>167</v>
      </c>
      <c r="C57" t="s">
        <v>168</v>
      </c>
      <c r="D57">
        <v>10</v>
      </c>
      <c r="E57">
        <v>8</v>
      </c>
      <c r="F57">
        <v>10</v>
      </c>
      <c r="G57">
        <v>11</v>
      </c>
      <c r="H57">
        <v>13</v>
      </c>
      <c r="I57">
        <v>38.5</v>
      </c>
      <c r="J57">
        <v>35.5</v>
      </c>
      <c r="K57">
        <v>37</v>
      </c>
      <c r="L57">
        <v>4</v>
      </c>
      <c r="M57">
        <f t="shared" si="0"/>
        <v>41</v>
      </c>
      <c r="N57">
        <f t="shared" si="3"/>
        <v>5.5</v>
      </c>
      <c r="O57" s="1">
        <f t="shared" si="2"/>
        <v>56.944055944055947</v>
      </c>
    </row>
    <row r="58" spans="1:15" x14ac:dyDescent="0.25">
      <c r="A58" t="s">
        <v>169</v>
      </c>
      <c r="B58" t="s">
        <v>170</v>
      </c>
      <c r="C58" t="s">
        <v>171</v>
      </c>
      <c r="D58">
        <v>0</v>
      </c>
      <c r="E58">
        <v>20</v>
      </c>
      <c r="F58">
        <v>9</v>
      </c>
      <c r="G58">
        <v>6</v>
      </c>
      <c r="H58">
        <v>13</v>
      </c>
      <c r="I58">
        <v>20.5</v>
      </c>
      <c r="J58">
        <v>41.5</v>
      </c>
      <c r="K58">
        <v>31</v>
      </c>
      <c r="L58">
        <v>4</v>
      </c>
      <c r="M58">
        <f t="shared" si="0"/>
        <v>35</v>
      </c>
      <c r="N58">
        <f t="shared" si="3"/>
        <v>6</v>
      </c>
      <c r="O58" s="1">
        <f t="shared" si="2"/>
        <v>50.248251748251747</v>
      </c>
    </row>
    <row r="59" spans="1:15" x14ac:dyDescent="0.25">
      <c r="A59" t="s">
        <v>108</v>
      </c>
      <c r="B59" t="s">
        <v>172</v>
      </c>
      <c r="C59" t="s">
        <v>173</v>
      </c>
      <c r="D59">
        <v>18</v>
      </c>
      <c r="E59">
        <v>15</v>
      </c>
      <c r="F59">
        <v>11</v>
      </c>
      <c r="G59">
        <v>6</v>
      </c>
      <c r="H59">
        <v>4.5</v>
      </c>
      <c r="I59">
        <v>39.5</v>
      </c>
      <c r="J59">
        <v>29.5</v>
      </c>
      <c r="K59">
        <v>43</v>
      </c>
      <c r="L59">
        <v>4</v>
      </c>
      <c r="M59">
        <f t="shared" si="0"/>
        <v>47</v>
      </c>
      <c r="N59">
        <f t="shared" si="3"/>
        <v>6.25</v>
      </c>
      <c r="O59" s="1">
        <f t="shared" si="2"/>
        <v>58.3513986013986</v>
      </c>
    </row>
    <row r="60" spans="1:15" x14ac:dyDescent="0.25">
      <c r="A60" t="s">
        <v>174</v>
      </c>
      <c r="B60" t="s">
        <v>175</v>
      </c>
      <c r="C60" t="s">
        <v>176</v>
      </c>
      <c r="D60">
        <v>14</v>
      </c>
      <c r="E60">
        <v>7</v>
      </c>
      <c r="F60">
        <v>16</v>
      </c>
      <c r="G60">
        <v>7</v>
      </c>
      <c r="H60">
        <v>0</v>
      </c>
      <c r="I60">
        <v>36.5</v>
      </c>
      <c r="J60">
        <v>29.5</v>
      </c>
      <c r="K60">
        <v>30</v>
      </c>
      <c r="L60">
        <v>0</v>
      </c>
      <c r="M60">
        <f t="shared" si="0"/>
        <v>30</v>
      </c>
      <c r="N60">
        <f t="shared" si="3"/>
        <v>5.5</v>
      </c>
      <c r="O60" s="1">
        <f t="shared" si="2"/>
        <v>47.947552447552447</v>
      </c>
    </row>
    <row r="61" spans="1:15" x14ac:dyDescent="0.25">
      <c r="A61" t="s">
        <v>177</v>
      </c>
      <c r="B61" t="s">
        <v>178</v>
      </c>
      <c r="C61" t="s">
        <v>179</v>
      </c>
      <c r="D61">
        <v>14</v>
      </c>
      <c r="E61">
        <v>11</v>
      </c>
      <c r="F61">
        <v>17</v>
      </c>
      <c r="G61">
        <v>11</v>
      </c>
      <c r="H61">
        <v>12</v>
      </c>
      <c r="I61">
        <v>40.5</v>
      </c>
      <c r="J61">
        <v>39</v>
      </c>
      <c r="K61">
        <v>40</v>
      </c>
      <c r="L61">
        <v>4</v>
      </c>
      <c r="M61">
        <f t="shared" si="0"/>
        <v>44</v>
      </c>
      <c r="N61">
        <f t="shared" si="3"/>
        <v>6.75</v>
      </c>
      <c r="O61" s="1">
        <f t="shared" si="2"/>
        <v>62.0541958041958</v>
      </c>
    </row>
    <row r="62" spans="1:15" x14ac:dyDescent="0.25">
      <c r="A62" t="s">
        <v>180</v>
      </c>
      <c r="B62" t="s">
        <v>181</v>
      </c>
      <c r="C62" t="s">
        <v>182</v>
      </c>
      <c r="D62">
        <v>18</v>
      </c>
      <c r="E62">
        <v>13</v>
      </c>
      <c r="F62">
        <v>13</v>
      </c>
      <c r="G62">
        <v>8</v>
      </c>
      <c r="H62">
        <v>5</v>
      </c>
      <c r="I62">
        <v>44.5</v>
      </c>
      <c r="J62">
        <v>40</v>
      </c>
      <c r="K62">
        <v>43</v>
      </c>
      <c r="L62">
        <v>4</v>
      </c>
      <c r="M62">
        <f t="shared" si="0"/>
        <v>47</v>
      </c>
      <c r="N62">
        <f t="shared" si="3"/>
        <v>6.5</v>
      </c>
      <c r="O62" s="1">
        <f t="shared" si="2"/>
        <v>65.2972027972028</v>
      </c>
    </row>
    <row r="63" spans="1:15" x14ac:dyDescent="0.25">
      <c r="A63" t="s">
        <v>183</v>
      </c>
      <c r="B63" t="s">
        <v>184</v>
      </c>
      <c r="C63" t="s">
        <v>185</v>
      </c>
      <c r="D63">
        <v>16</v>
      </c>
      <c r="E63">
        <v>13</v>
      </c>
      <c r="F63">
        <v>18</v>
      </c>
      <c r="G63">
        <v>14</v>
      </c>
      <c r="H63">
        <v>10</v>
      </c>
      <c r="I63">
        <v>52.5</v>
      </c>
      <c r="J63">
        <v>38.5</v>
      </c>
      <c r="K63">
        <v>49</v>
      </c>
      <c r="L63">
        <v>4</v>
      </c>
      <c r="M63">
        <f t="shared" si="0"/>
        <v>53</v>
      </c>
      <c r="N63">
        <f t="shared" si="3"/>
        <v>7.625</v>
      </c>
      <c r="O63" s="1">
        <f t="shared" si="2"/>
        <v>71.817307692307693</v>
      </c>
    </row>
    <row r="64" spans="1:15" x14ac:dyDescent="0.25">
      <c r="A64" t="s">
        <v>186</v>
      </c>
      <c r="B64" t="s">
        <v>187</v>
      </c>
      <c r="C64" t="s">
        <v>188</v>
      </c>
      <c r="D64">
        <v>12</v>
      </c>
      <c r="E64">
        <v>9</v>
      </c>
      <c r="F64">
        <v>11</v>
      </c>
      <c r="G64">
        <v>8</v>
      </c>
      <c r="H64">
        <v>3</v>
      </c>
      <c r="I64">
        <v>39.5</v>
      </c>
      <c r="J64">
        <v>34.5</v>
      </c>
      <c r="K64">
        <v>41</v>
      </c>
      <c r="L64">
        <v>4</v>
      </c>
      <c r="M64">
        <f t="shared" si="0"/>
        <v>45</v>
      </c>
      <c r="N64">
        <f t="shared" si="3"/>
        <v>5</v>
      </c>
      <c r="O64" s="1">
        <f t="shared" si="2"/>
        <v>58.374125874125873</v>
      </c>
    </row>
    <row r="66" spans="15:15" x14ac:dyDescent="0.25">
      <c r="O66" s="1">
        <f>AVERAGE(O2:O64)</f>
        <v>56.774600399600388</v>
      </c>
    </row>
    <row r="67" spans="15:15" x14ac:dyDescent="0.25">
      <c r="O67" s="1">
        <f>MAX(O2:O64)</f>
        <v>84.11363636363636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9B56-EA0E-1B48-8D45-0D89519D141A}">
  <dimension ref="A1:E67"/>
  <sheetViews>
    <sheetView workbookViewId="0">
      <selection activeCell="H14" sqref="H14"/>
    </sheetView>
  </sheetViews>
  <sheetFormatPr baseColWidth="10" defaultRowHeight="18" x14ac:dyDescent="0.25"/>
  <cols>
    <col min="5" max="5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200</v>
      </c>
      <c r="E1" t="s">
        <v>201</v>
      </c>
    </row>
    <row r="2" spans="1:5" x14ac:dyDescent="0.25">
      <c r="A2" t="s">
        <v>3</v>
      </c>
      <c r="B2" t="s">
        <v>4</v>
      </c>
      <c r="C2" t="s">
        <v>5</v>
      </c>
      <c r="D2" s="1">
        <v>27.085664335664337</v>
      </c>
      <c r="E2" s="1">
        <f>D2+10</f>
        <v>37.085664335664333</v>
      </c>
    </row>
    <row r="3" spans="1:5" x14ac:dyDescent="0.25">
      <c r="A3" t="s">
        <v>78</v>
      </c>
      <c r="B3" t="s">
        <v>79</v>
      </c>
      <c r="C3" t="s">
        <v>80</v>
      </c>
      <c r="D3" s="1">
        <v>30.439685314685313</v>
      </c>
      <c r="E3" s="1">
        <f t="shared" ref="E3:E64" si="0">D3+10</f>
        <v>40.439685314685313</v>
      </c>
    </row>
    <row r="4" spans="1:5" x14ac:dyDescent="0.25">
      <c r="A4" t="s">
        <v>75</v>
      </c>
      <c r="B4" t="s">
        <v>76</v>
      </c>
      <c r="C4" t="s">
        <v>77</v>
      </c>
      <c r="D4" s="1">
        <v>40.125</v>
      </c>
      <c r="E4" s="1">
        <f t="shared" si="0"/>
        <v>50.125</v>
      </c>
    </row>
    <row r="5" spans="1:5" x14ac:dyDescent="0.25">
      <c r="A5" t="s">
        <v>15</v>
      </c>
      <c r="B5" t="s">
        <v>16</v>
      </c>
      <c r="C5" t="s">
        <v>17</v>
      </c>
      <c r="D5" s="1">
        <v>40.34178321678322</v>
      </c>
      <c r="E5" s="1">
        <f t="shared" si="0"/>
        <v>50.34178321678322</v>
      </c>
    </row>
    <row r="6" spans="1:5" x14ac:dyDescent="0.25">
      <c r="A6" t="s">
        <v>60</v>
      </c>
      <c r="B6" t="s">
        <v>61</v>
      </c>
      <c r="C6" t="s">
        <v>62</v>
      </c>
      <c r="D6" s="1">
        <v>40.602272727272727</v>
      </c>
      <c r="E6" s="1">
        <f t="shared" si="0"/>
        <v>50.602272727272727</v>
      </c>
    </row>
    <row r="7" spans="1:5" x14ac:dyDescent="0.25">
      <c r="A7" t="s">
        <v>30</v>
      </c>
      <c r="B7" t="s">
        <v>31</v>
      </c>
      <c r="C7" t="s">
        <v>32</v>
      </c>
      <c r="D7" s="1">
        <v>42.89597902097902</v>
      </c>
      <c r="E7" s="1">
        <f t="shared" si="0"/>
        <v>52.89597902097902</v>
      </c>
    </row>
    <row r="8" spans="1:5" x14ac:dyDescent="0.25">
      <c r="A8" t="s">
        <v>48</v>
      </c>
      <c r="B8" t="s">
        <v>49</v>
      </c>
      <c r="C8" t="s">
        <v>50</v>
      </c>
      <c r="D8" s="1">
        <v>43.4020979020979</v>
      </c>
      <c r="E8" s="1">
        <f t="shared" si="0"/>
        <v>53.4020979020979</v>
      </c>
    </row>
    <row r="9" spans="1:5" x14ac:dyDescent="0.25">
      <c r="A9" t="s">
        <v>12</v>
      </c>
      <c r="B9" t="s">
        <v>13</v>
      </c>
      <c r="C9" t="s">
        <v>14</v>
      </c>
      <c r="D9" s="1">
        <v>43.716783216783213</v>
      </c>
      <c r="E9" s="1">
        <f t="shared" si="0"/>
        <v>53.716783216783213</v>
      </c>
    </row>
    <row r="10" spans="1:5" x14ac:dyDescent="0.25">
      <c r="A10" t="s">
        <v>132</v>
      </c>
      <c r="B10" t="s">
        <v>133</v>
      </c>
      <c r="C10" t="s">
        <v>134</v>
      </c>
      <c r="D10" s="1">
        <v>44.570804195804193</v>
      </c>
      <c r="E10" s="1">
        <f t="shared" si="0"/>
        <v>54.570804195804193</v>
      </c>
    </row>
    <row r="11" spans="1:5" x14ac:dyDescent="0.25">
      <c r="A11" t="s">
        <v>96</v>
      </c>
      <c r="B11" t="s">
        <v>97</v>
      </c>
      <c r="C11" t="s">
        <v>98</v>
      </c>
      <c r="D11" s="1">
        <v>45.201048951048953</v>
      </c>
      <c r="E11" s="1">
        <f t="shared" si="0"/>
        <v>55.201048951048953</v>
      </c>
    </row>
    <row r="12" spans="1:5" x14ac:dyDescent="0.25">
      <c r="A12" t="s">
        <v>160</v>
      </c>
      <c r="B12" t="s">
        <v>161</v>
      </c>
      <c r="C12" t="s">
        <v>162</v>
      </c>
      <c r="D12" s="1">
        <v>46.179632867132867</v>
      </c>
      <c r="E12" s="1">
        <f t="shared" si="0"/>
        <v>56.179632867132867</v>
      </c>
    </row>
    <row r="13" spans="1:5" x14ac:dyDescent="0.25">
      <c r="A13" t="s">
        <v>135</v>
      </c>
      <c r="B13" t="s">
        <v>136</v>
      </c>
      <c r="C13" t="s">
        <v>137</v>
      </c>
      <c r="D13" s="1">
        <v>46.6993006993007</v>
      </c>
      <c r="E13" s="1">
        <f t="shared" si="0"/>
        <v>56.6993006993007</v>
      </c>
    </row>
    <row r="14" spans="1:5" x14ac:dyDescent="0.25">
      <c r="A14" t="s">
        <v>102</v>
      </c>
      <c r="B14" t="s">
        <v>103</v>
      </c>
      <c r="C14" t="s">
        <v>104</v>
      </c>
      <c r="D14" s="1">
        <v>46.98863636363636</v>
      </c>
      <c r="E14" s="1">
        <f t="shared" si="0"/>
        <v>56.98863636363636</v>
      </c>
    </row>
    <row r="15" spans="1:5" x14ac:dyDescent="0.25">
      <c r="A15" t="s">
        <v>6</v>
      </c>
      <c r="B15" t="s">
        <v>7</v>
      </c>
      <c r="C15" t="s">
        <v>8</v>
      </c>
      <c r="D15" s="1">
        <v>47.859265734265733</v>
      </c>
      <c r="E15" s="1">
        <f t="shared" si="0"/>
        <v>57.859265734265733</v>
      </c>
    </row>
    <row r="16" spans="1:5" x14ac:dyDescent="0.25">
      <c r="A16" t="s">
        <v>174</v>
      </c>
      <c r="B16" t="s">
        <v>175</v>
      </c>
      <c r="C16" t="s">
        <v>176</v>
      </c>
      <c r="D16" s="1">
        <v>47.947552447552447</v>
      </c>
      <c r="E16" s="1">
        <f t="shared" si="0"/>
        <v>57.947552447552447</v>
      </c>
    </row>
    <row r="17" spans="1:5" x14ac:dyDescent="0.25">
      <c r="A17" t="s">
        <v>108</v>
      </c>
      <c r="B17" t="s">
        <v>109</v>
      </c>
      <c r="C17" t="s">
        <v>110</v>
      </c>
      <c r="D17" s="1">
        <v>48.33916083916084</v>
      </c>
      <c r="E17" s="1">
        <f t="shared" si="0"/>
        <v>58.33916083916084</v>
      </c>
    </row>
    <row r="18" spans="1:5" x14ac:dyDescent="0.25">
      <c r="A18" t="s">
        <v>111</v>
      </c>
      <c r="B18" t="s">
        <v>112</v>
      </c>
      <c r="C18" t="s">
        <v>113</v>
      </c>
      <c r="D18" s="1">
        <v>49.25</v>
      </c>
      <c r="E18" s="1">
        <f t="shared" si="0"/>
        <v>59.25</v>
      </c>
    </row>
    <row r="19" spans="1:5" x14ac:dyDescent="0.25">
      <c r="A19" t="s">
        <v>147</v>
      </c>
      <c r="B19" t="s">
        <v>148</v>
      </c>
      <c r="C19" t="s">
        <v>149</v>
      </c>
      <c r="D19" s="1">
        <v>49.6048951048951</v>
      </c>
      <c r="E19" s="1">
        <f t="shared" si="0"/>
        <v>59.6048951048951</v>
      </c>
    </row>
    <row r="20" spans="1:5" x14ac:dyDescent="0.25">
      <c r="A20" t="s">
        <v>33</v>
      </c>
      <c r="B20" t="s">
        <v>34</v>
      </c>
      <c r="C20" t="s">
        <v>35</v>
      </c>
      <c r="D20" s="1">
        <v>49.95236013986014</v>
      </c>
      <c r="E20" s="1">
        <f t="shared" si="0"/>
        <v>59.95236013986014</v>
      </c>
    </row>
    <row r="21" spans="1:5" x14ac:dyDescent="0.25">
      <c r="A21" t="s">
        <v>169</v>
      </c>
      <c r="B21" t="s">
        <v>170</v>
      </c>
      <c r="C21" t="s">
        <v>171</v>
      </c>
      <c r="D21" s="1">
        <v>50.248251748251747</v>
      </c>
      <c r="E21" s="1">
        <f t="shared" si="0"/>
        <v>60.248251748251747</v>
      </c>
    </row>
    <row r="22" spans="1:5" x14ac:dyDescent="0.25">
      <c r="A22" t="s">
        <v>141</v>
      </c>
      <c r="B22" t="s">
        <v>142</v>
      </c>
      <c r="C22" t="s">
        <v>143</v>
      </c>
      <c r="D22" s="1">
        <v>50.337412587412587</v>
      </c>
      <c r="E22" s="1">
        <f t="shared" si="0"/>
        <v>60.337412587412587</v>
      </c>
    </row>
    <row r="23" spans="1:5" x14ac:dyDescent="0.25">
      <c r="A23" t="s">
        <v>93</v>
      </c>
      <c r="B23" t="s">
        <v>94</v>
      </c>
      <c r="C23" t="s">
        <v>95</v>
      </c>
      <c r="D23" s="1">
        <v>51.167832167832174</v>
      </c>
      <c r="E23" s="1">
        <f t="shared" si="0"/>
        <v>61.167832167832174</v>
      </c>
    </row>
    <row r="24" spans="1:5" x14ac:dyDescent="0.25">
      <c r="A24" t="s">
        <v>120</v>
      </c>
      <c r="B24" t="s">
        <v>121</v>
      </c>
      <c r="C24" t="s">
        <v>122</v>
      </c>
      <c r="D24" s="1">
        <v>51.45541958041958</v>
      </c>
      <c r="E24" s="1">
        <f t="shared" si="0"/>
        <v>61.45541958041958</v>
      </c>
    </row>
    <row r="25" spans="1:5" x14ac:dyDescent="0.25">
      <c r="A25" t="s">
        <v>157</v>
      </c>
      <c r="B25" t="s">
        <v>158</v>
      </c>
      <c r="C25" t="s">
        <v>159</v>
      </c>
      <c r="D25" s="1">
        <v>52.962412587412587</v>
      </c>
      <c r="E25" s="1">
        <f t="shared" si="0"/>
        <v>62.962412587412587</v>
      </c>
    </row>
    <row r="26" spans="1:5" x14ac:dyDescent="0.25">
      <c r="A26" t="s">
        <v>39</v>
      </c>
      <c r="B26" t="s">
        <v>40</v>
      </c>
      <c r="C26" t="s">
        <v>41</v>
      </c>
      <c r="D26" s="1">
        <v>53.013986013986013</v>
      </c>
      <c r="E26" s="1">
        <f t="shared" si="0"/>
        <v>63.013986013986013</v>
      </c>
    </row>
    <row r="27" spans="1:5" x14ac:dyDescent="0.25">
      <c r="A27" t="s">
        <v>105</v>
      </c>
      <c r="B27" t="s">
        <v>106</v>
      </c>
      <c r="C27" t="s">
        <v>107</v>
      </c>
      <c r="D27" s="1">
        <v>53.125874125874127</v>
      </c>
      <c r="E27" s="1">
        <f t="shared" si="0"/>
        <v>63.125874125874127</v>
      </c>
    </row>
    <row r="28" spans="1:5" x14ac:dyDescent="0.25">
      <c r="A28" t="s">
        <v>84</v>
      </c>
      <c r="B28" t="s">
        <v>85</v>
      </c>
      <c r="C28" t="s">
        <v>86</v>
      </c>
      <c r="D28" s="1">
        <v>53.465909090909093</v>
      </c>
      <c r="E28" s="1">
        <f t="shared" si="0"/>
        <v>63.465909090909093</v>
      </c>
    </row>
    <row r="29" spans="1:5" x14ac:dyDescent="0.25">
      <c r="A29" t="s">
        <v>42</v>
      </c>
      <c r="B29" t="s">
        <v>43</v>
      </c>
      <c r="C29" t="s">
        <v>44</v>
      </c>
      <c r="D29" s="1">
        <v>53.473776223776227</v>
      </c>
      <c r="E29" s="1">
        <f t="shared" si="0"/>
        <v>63.473776223776227</v>
      </c>
    </row>
    <row r="30" spans="1:5" x14ac:dyDescent="0.25">
      <c r="A30" t="s">
        <v>126</v>
      </c>
      <c r="B30" t="s">
        <v>127</v>
      </c>
      <c r="C30" t="s">
        <v>128</v>
      </c>
      <c r="D30" s="1">
        <v>53.539335664335667</v>
      </c>
      <c r="E30" s="1">
        <f t="shared" si="0"/>
        <v>63.539335664335667</v>
      </c>
    </row>
    <row r="31" spans="1:5" x14ac:dyDescent="0.25">
      <c r="A31" t="s">
        <v>81</v>
      </c>
      <c r="B31" t="s">
        <v>82</v>
      </c>
      <c r="C31" t="s">
        <v>83</v>
      </c>
      <c r="D31" s="1">
        <v>54.719405594405593</v>
      </c>
      <c r="E31" s="1">
        <f t="shared" si="0"/>
        <v>64.7194055944056</v>
      </c>
    </row>
    <row r="32" spans="1:5" x14ac:dyDescent="0.25">
      <c r="A32" t="s">
        <v>144</v>
      </c>
      <c r="B32" t="s">
        <v>145</v>
      </c>
      <c r="C32" t="s">
        <v>146</v>
      </c>
      <c r="D32" s="1">
        <v>54.92307692307692</v>
      </c>
      <c r="E32" s="1">
        <f t="shared" si="0"/>
        <v>64.92307692307692</v>
      </c>
    </row>
    <row r="33" spans="1:5" x14ac:dyDescent="0.25">
      <c r="A33" t="s">
        <v>24</v>
      </c>
      <c r="B33" t="s">
        <v>25</v>
      </c>
      <c r="C33" t="s">
        <v>26</v>
      </c>
      <c r="D33" s="1">
        <v>55.08304195804196</v>
      </c>
      <c r="E33" s="1">
        <f t="shared" si="0"/>
        <v>65.08304195804196</v>
      </c>
    </row>
    <row r="34" spans="1:5" x14ac:dyDescent="0.25">
      <c r="A34" t="s">
        <v>123</v>
      </c>
      <c r="B34" t="s">
        <v>124</v>
      </c>
      <c r="C34" t="s">
        <v>125</v>
      </c>
      <c r="D34" s="1">
        <v>55.280594405594407</v>
      </c>
      <c r="E34" s="1">
        <f t="shared" si="0"/>
        <v>65.2805944055944</v>
      </c>
    </row>
    <row r="35" spans="1:5" x14ac:dyDescent="0.25">
      <c r="A35" t="s">
        <v>78</v>
      </c>
      <c r="B35" t="s">
        <v>155</v>
      </c>
      <c r="C35" t="s">
        <v>156</v>
      </c>
      <c r="D35" s="1">
        <v>55.840909090909093</v>
      </c>
      <c r="E35" s="1">
        <f t="shared" si="0"/>
        <v>65.840909090909093</v>
      </c>
    </row>
    <row r="36" spans="1:5" x14ac:dyDescent="0.25">
      <c r="A36" t="s">
        <v>129</v>
      </c>
      <c r="B36" t="s">
        <v>130</v>
      </c>
      <c r="C36" t="s">
        <v>131</v>
      </c>
      <c r="D36" s="1">
        <v>56.599650349650346</v>
      </c>
      <c r="E36" s="1">
        <f t="shared" si="0"/>
        <v>66.599650349650346</v>
      </c>
    </row>
    <row r="37" spans="1:5" x14ac:dyDescent="0.25">
      <c r="A37" t="s">
        <v>166</v>
      </c>
      <c r="B37" t="s">
        <v>167</v>
      </c>
      <c r="C37" t="s">
        <v>168</v>
      </c>
      <c r="D37" s="1">
        <v>56.944055944055947</v>
      </c>
      <c r="E37" s="1">
        <f t="shared" si="0"/>
        <v>66.944055944055947</v>
      </c>
    </row>
    <row r="38" spans="1:5" x14ac:dyDescent="0.25">
      <c r="A38" t="s">
        <v>87</v>
      </c>
      <c r="B38" t="s">
        <v>88</v>
      </c>
      <c r="C38" t="s">
        <v>89</v>
      </c>
      <c r="D38" s="1">
        <v>57.69274475524476</v>
      </c>
      <c r="E38" s="1">
        <f t="shared" si="0"/>
        <v>67.69274475524476</v>
      </c>
    </row>
    <row r="39" spans="1:5" x14ac:dyDescent="0.25">
      <c r="A39" t="s">
        <v>27</v>
      </c>
      <c r="B39" t="s">
        <v>28</v>
      </c>
      <c r="C39" t="s">
        <v>29</v>
      </c>
      <c r="D39" s="1">
        <v>58.198426573426573</v>
      </c>
      <c r="E39" s="1">
        <f t="shared" si="0"/>
        <v>68.198426573426573</v>
      </c>
    </row>
    <row r="40" spans="1:5" x14ac:dyDescent="0.25">
      <c r="A40" t="s">
        <v>108</v>
      </c>
      <c r="B40" t="s">
        <v>172</v>
      </c>
      <c r="C40" t="s">
        <v>173</v>
      </c>
      <c r="D40" s="1">
        <v>58.3513986013986</v>
      </c>
      <c r="E40" s="1">
        <f t="shared" si="0"/>
        <v>68.3513986013986</v>
      </c>
    </row>
    <row r="41" spans="1:5" x14ac:dyDescent="0.25">
      <c r="A41" t="s">
        <v>186</v>
      </c>
      <c r="B41" t="s">
        <v>187</v>
      </c>
      <c r="C41" t="s">
        <v>188</v>
      </c>
      <c r="D41" s="1">
        <v>58.374125874125873</v>
      </c>
      <c r="E41" s="1">
        <f t="shared" si="0"/>
        <v>68.374125874125866</v>
      </c>
    </row>
    <row r="42" spans="1:5" x14ac:dyDescent="0.25">
      <c r="A42" t="s">
        <v>36</v>
      </c>
      <c r="B42" t="s">
        <v>37</v>
      </c>
      <c r="C42" t="s">
        <v>38</v>
      </c>
      <c r="D42" s="1">
        <v>59.383304195804193</v>
      </c>
      <c r="E42" s="1">
        <f t="shared" si="0"/>
        <v>69.383304195804186</v>
      </c>
    </row>
    <row r="43" spans="1:5" x14ac:dyDescent="0.25">
      <c r="A43" t="s">
        <v>54</v>
      </c>
      <c r="B43" t="s">
        <v>55</v>
      </c>
      <c r="C43" t="s">
        <v>56</v>
      </c>
      <c r="D43" s="1">
        <v>60.996503496503493</v>
      </c>
      <c r="E43" s="1">
        <f t="shared" si="0"/>
        <v>70.996503496503493</v>
      </c>
    </row>
    <row r="44" spans="1:5" x14ac:dyDescent="0.25">
      <c r="A44" t="s">
        <v>177</v>
      </c>
      <c r="B44" t="s">
        <v>178</v>
      </c>
      <c r="C44" t="s">
        <v>179</v>
      </c>
      <c r="D44" s="1">
        <v>62.0541958041958</v>
      </c>
      <c r="E44" s="1">
        <f t="shared" si="0"/>
        <v>72.0541958041958</v>
      </c>
    </row>
    <row r="45" spans="1:5" x14ac:dyDescent="0.25">
      <c r="A45" t="s">
        <v>45</v>
      </c>
      <c r="B45" t="s">
        <v>46</v>
      </c>
      <c r="C45" t="s">
        <v>47</v>
      </c>
      <c r="D45" s="1">
        <v>62.22027972027972</v>
      </c>
      <c r="E45" s="1">
        <f t="shared" si="0"/>
        <v>72.22027972027972</v>
      </c>
    </row>
    <row r="46" spans="1:5" x14ac:dyDescent="0.25">
      <c r="A46" t="s">
        <v>114</v>
      </c>
      <c r="B46" t="s">
        <v>115</v>
      </c>
      <c r="C46" t="s">
        <v>116</v>
      </c>
      <c r="D46" s="1">
        <v>62.83041958041958</v>
      </c>
      <c r="E46" s="1">
        <f t="shared" si="0"/>
        <v>72.830419580419573</v>
      </c>
    </row>
    <row r="47" spans="1:5" x14ac:dyDescent="0.25">
      <c r="A47" t="s">
        <v>72</v>
      </c>
      <c r="B47" t="s">
        <v>73</v>
      </c>
      <c r="C47" t="s">
        <v>74</v>
      </c>
      <c r="D47" s="1">
        <v>65.283216783216787</v>
      </c>
      <c r="E47" s="1">
        <f t="shared" si="0"/>
        <v>75.283216783216787</v>
      </c>
    </row>
    <row r="48" spans="1:5" x14ac:dyDescent="0.25">
      <c r="A48" t="s">
        <v>180</v>
      </c>
      <c r="B48" t="s">
        <v>181</v>
      </c>
      <c r="C48" t="s">
        <v>182</v>
      </c>
      <c r="D48" s="1">
        <v>65.2972027972028</v>
      </c>
      <c r="E48" s="1">
        <f t="shared" si="0"/>
        <v>75.2972027972028</v>
      </c>
    </row>
    <row r="49" spans="1:5" x14ac:dyDescent="0.25">
      <c r="A49" t="s">
        <v>21</v>
      </c>
      <c r="B49" t="s">
        <v>22</v>
      </c>
      <c r="C49" t="s">
        <v>23</v>
      </c>
      <c r="D49" s="1">
        <v>65.984265734265733</v>
      </c>
      <c r="E49" s="1">
        <f t="shared" si="0"/>
        <v>75.984265734265733</v>
      </c>
    </row>
    <row r="50" spans="1:5" x14ac:dyDescent="0.25">
      <c r="A50" t="s">
        <v>57</v>
      </c>
      <c r="B50" t="s">
        <v>58</v>
      </c>
      <c r="C50" t="s">
        <v>59</v>
      </c>
      <c r="D50" s="1">
        <v>68.194930069930066</v>
      </c>
      <c r="E50" s="1">
        <f t="shared" si="0"/>
        <v>78.194930069930066</v>
      </c>
    </row>
    <row r="51" spans="1:5" x14ac:dyDescent="0.25">
      <c r="A51" t="s">
        <v>90</v>
      </c>
      <c r="B51" t="s">
        <v>91</v>
      </c>
      <c r="C51" t="s">
        <v>92</v>
      </c>
      <c r="D51" s="1">
        <v>69.19055944055944</v>
      </c>
      <c r="E51" s="1">
        <f t="shared" si="0"/>
        <v>79.19055944055944</v>
      </c>
    </row>
    <row r="52" spans="1:5" x14ac:dyDescent="0.25">
      <c r="A52" t="s">
        <v>150</v>
      </c>
      <c r="B52" t="s">
        <v>148</v>
      </c>
      <c r="C52" t="s">
        <v>151</v>
      </c>
      <c r="D52" s="1">
        <v>69.71416083916084</v>
      </c>
      <c r="E52" s="1">
        <f t="shared" si="0"/>
        <v>79.71416083916084</v>
      </c>
    </row>
    <row r="53" spans="1:5" x14ac:dyDescent="0.25">
      <c r="A53" t="s">
        <v>163</v>
      </c>
      <c r="B53" t="s">
        <v>164</v>
      </c>
      <c r="C53" t="s">
        <v>165</v>
      </c>
      <c r="D53" s="1">
        <v>69.991258741258747</v>
      </c>
      <c r="E53" s="1">
        <f t="shared" si="0"/>
        <v>79.991258741258747</v>
      </c>
    </row>
    <row r="54" spans="1:5" x14ac:dyDescent="0.25">
      <c r="A54" t="s">
        <v>117</v>
      </c>
      <c r="B54" t="s">
        <v>118</v>
      </c>
      <c r="C54" t="s">
        <v>119</v>
      </c>
      <c r="D54" s="1">
        <v>70.04108391608392</v>
      </c>
      <c r="E54" s="1">
        <f t="shared" si="0"/>
        <v>80.04108391608392</v>
      </c>
    </row>
    <row r="55" spans="1:5" x14ac:dyDescent="0.25">
      <c r="A55" t="s">
        <v>66</v>
      </c>
      <c r="B55" t="s">
        <v>67</v>
      </c>
      <c r="C55" t="s">
        <v>68</v>
      </c>
      <c r="D55" s="1">
        <v>70.6013986013986</v>
      </c>
      <c r="E55" s="1">
        <f t="shared" si="0"/>
        <v>80.6013986013986</v>
      </c>
    </row>
    <row r="56" spans="1:5" x14ac:dyDescent="0.25">
      <c r="A56" t="s">
        <v>9</v>
      </c>
      <c r="B56" t="s">
        <v>10</v>
      </c>
      <c r="C56" t="s">
        <v>11</v>
      </c>
      <c r="D56" s="1">
        <v>70.6958041958042</v>
      </c>
      <c r="E56" s="1">
        <f t="shared" si="0"/>
        <v>80.6958041958042</v>
      </c>
    </row>
    <row r="57" spans="1:5" x14ac:dyDescent="0.25">
      <c r="A57" t="s">
        <v>138</v>
      </c>
      <c r="B57" t="s">
        <v>139</v>
      </c>
      <c r="C57" t="s">
        <v>140</v>
      </c>
      <c r="D57" s="1">
        <v>70.864510489510494</v>
      </c>
      <c r="E57" s="1">
        <f t="shared" si="0"/>
        <v>80.864510489510494</v>
      </c>
    </row>
    <row r="58" spans="1:5" x14ac:dyDescent="0.25">
      <c r="A58" t="s">
        <v>183</v>
      </c>
      <c r="B58" t="s">
        <v>184</v>
      </c>
      <c r="C58" t="s">
        <v>185</v>
      </c>
      <c r="D58" s="1">
        <v>71.817307692307693</v>
      </c>
      <c r="E58" s="1">
        <f t="shared" si="0"/>
        <v>81.817307692307693</v>
      </c>
    </row>
    <row r="59" spans="1:5" x14ac:dyDescent="0.25">
      <c r="A59" t="s">
        <v>69</v>
      </c>
      <c r="B59" t="s">
        <v>70</v>
      </c>
      <c r="C59" t="s">
        <v>71</v>
      </c>
      <c r="D59" s="1">
        <v>73.12587412587412</v>
      </c>
      <c r="E59" s="1">
        <f t="shared" si="0"/>
        <v>83.12587412587412</v>
      </c>
    </row>
    <row r="60" spans="1:5" x14ac:dyDescent="0.25">
      <c r="A60" t="s">
        <v>152</v>
      </c>
      <c r="B60" t="s">
        <v>153</v>
      </c>
      <c r="C60" t="s">
        <v>154</v>
      </c>
      <c r="D60" s="1">
        <v>73.162587412587413</v>
      </c>
      <c r="E60" s="1">
        <f t="shared" si="0"/>
        <v>83.162587412587413</v>
      </c>
    </row>
    <row r="61" spans="1:5" x14ac:dyDescent="0.25">
      <c r="A61" t="s">
        <v>51</v>
      </c>
      <c r="B61" t="s">
        <v>52</v>
      </c>
      <c r="C61" t="s">
        <v>53</v>
      </c>
      <c r="D61" s="1">
        <v>77.01835664335664</v>
      </c>
      <c r="E61" s="1">
        <f t="shared" si="0"/>
        <v>87.01835664335664</v>
      </c>
    </row>
    <row r="62" spans="1:5" x14ac:dyDescent="0.25">
      <c r="A62" t="s">
        <v>99</v>
      </c>
      <c r="B62" t="s">
        <v>100</v>
      </c>
      <c r="C62" t="s">
        <v>101</v>
      </c>
      <c r="D62" s="1">
        <v>77.390734265734267</v>
      </c>
      <c r="E62" s="1">
        <f t="shared" si="0"/>
        <v>87.390734265734267</v>
      </c>
    </row>
    <row r="63" spans="1:5" x14ac:dyDescent="0.25">
      <c r="A63" t="s">
        <v>18</v>
      </c>
      <c r="B63" t="s">
        <v>19</v>
      </c>
      <c r="C63" t="s">
        <v>20</v>
      </c>
      <c r="D63" s="1">
        <v>80.828671328671334</v>
      </c>
      <c r="E63" s="1">
        <f t="shared" si="0"/>
        <v>90.828671328671334</v>
      </c>
    </row>
    <row r="64" spans="1:5" x14ac:dyDescent="0.25">
      <c r="A64" t="s">
        <v>63</v>
      </c>
      <c r="B64" t="s">
        <v>64</v>
      </c>
      <c r="C64" t="s">
        <v>65</v>
      </c>
      <c r="D64" s="1">
        <v>84.11363636363636</v>
      </c>
      <c r="E64" s="1">
        <f t="shared" si="0"/>
        <v>94.11363636363636</v>
      </c>
    </row>
    <row r="66" spans="4:4" x14ac:dyDescent="0.25">
      <c r="D66" s="1"/>
    </row>
    <row r="67" spans="4:4" x14ac:dyDescent="0.25">
      <c r="D67" s="1"/>
    </row>
  </sheetData>
  <sortState xmlns:xlrd2="http://schemas.microsoft.com/office/spreadsheetml/2017/richdata2" ref="A2:D64">
    <sortCondition ref="D2:D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2026-04-19T09:28:43Z</dcterms:created>
  <dcterms:modified xsi:type="dcterms:W3CDTF">2026-04-20T22:37:02Z</dcterms:modified>
</cp:coreProperties>
</file>