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204/Grades/"/>
    </mc:Choice>
  </mc:AlternateContent>
  <xr:revisionPtr revIDLastSave="0" documentId="13_ncr:1_{A37DF1D9-BCCC-0041-8FB6-206E51B9E9BB}" xr6:coauthVersionLast="47" xr6:coauthVersionMax="47" xr10:uidLastSave="{00000000-0000-0000-0000-000000000000}"/>
  <bookViews>
    <workbookView xWindow="140" yWindow="660" windowWidth="14180" windowHeight="17200" xr2:uid="{B425C095-6D1A-A248-9EE5-AF2848355B7F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I4" i="1"/>
  <c r="I5" i="1"/>
  <c r="I6" i="1"/>
  <c r="I7" i="1"/>
  <c r="I8" i="1"/>
  <c r="I9" i="1"/>
  <c r="I10" i="1"/>
  <c r="I11" i="1"/>
  <c r="I12" i="1"/>
  <c r="I3" i="1"/>
</calcChain>
</file>

<file path=xl/sharedStrings.xml><?xml version="1.0" encoding="utf-8"?>
<sst xmlns="http://schemas.openxmlformats.org/spreadsheetml/2006/main" count="57" uniqueCount="57">
  <si>
    <t>First name</t>
  </si>
  <si>
    <t>Last name</t>
  </si>
  <si>
    <t>ID number</t>
  </si>
  <si>
    <t>Email address</t>
  </si>
  <si>
    <t>Patrick</t>
  </si>
  <si>
    <t>Cuthbertson</t>
  </si>
  <si>
    <t>230109551</t>
  </si>
  <si>
    <t>pcuthbert@unbc.ca</t>
  </si>
  <si>
    <t>Meg</t>
  </si>
  <si>
    <t>Dunham</t>
  </si>
  <si>
    <t>230163800</t>
  </si>
  <si>
    <t>dunham@unbc.ca</t>
  </si>
  <si>
    <t>Onete</t>
  </si>
  <si>
    <t>John</t>
  </si>
  <si>
    <t>230159117</t>
  </si>
  <si>
    <t>ojohn@unbc.ca</t>
  </si>
  <si>
    <t>Dylan</t>
  </si>
  <si>
    <t>Logan</t>
  </si>
  <si>
    <t>230161575</t>
  </si>
  <si>
    <t>dlogan@unbc.ca</t>
  </si>
  <si>
    <t>Alinafe</t>
  </si>
  <si>
    <t>Nkhoma</t>
  </si>
  <si>
    <t>230163456</t>
  </si>
  <si>
    <t>nkhoma@unbc.ca</t>
  </si>
  <si>
    <t>Cale</t>
  </si>
  <si>
    <t>Pharness</t>
  </si>
  <si>
    <t>230152367</t>
  </si>
  <si>
    <t>pharness@unbc.ca</t>
  </si>
  <si>
    <t>Emily</t>
  </si>
  <si>
    <t>Roberts</t>
  </si>
  <si>
    <t>230154138</t>
  </si>
  <si>
    <t>eroberts@unbc.ca</t>
  </si>
  <si>
    <t>Ashwin</t>
  </si>
  <si>
    <t>Sreekant Panicker</t>
  </si>
  <si>
    <t>230159948</t>
  </si>
  <si>
    <t>sreekant@unbc.ca</t>
  </si>
  <si>
    <t>Kelley</t>
  </si>
  <si>
    <t>Tran</t>
  </si>
  <si>
    <t>230161391</t>
  </si>
  <si>
    <t>ktran2@unbc.ca</t>
  </si>
  <si>
    <t>PAMELA</t>
  </si>
  <si>
    <t>Willie Okafor</t>
  </si>
  <si>
    <t>230158082</t>
  </si>
  <si>
    <t>willie@unbc.ca</t>
  </si>
  <si>
    <t>Rachel</t>
  </si>
  <si>
    <t>Young</t>
  </si>
  <si>
    <t>230154595</t>
  </si>
  <si>
    <t>youngr2@unbc.ca</t>
  </si>
  <si>
    <t>Midterm Exam (50)</t>
  </si>
  <si>
    <t xml:space="preserve">Paper </t>
  </si>
  <si>
    <t>Presentation</t>
  </si>
  <si>
    <t>Participation</t>
  </si>
  <si>
    <t>Term Project Total</t>
  </si>
  <si>
    <t>FE Essay 25</t>
  </si>
  <si>
    <t>FE MCQ 75</t>
  </si>
  <si>
    <t>FE Total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</si>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</sst>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5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164" fontId="0" fillId="0" borderId="0" xfId="0" applyNumberFormat="1"/>
  </cellXfs>
  <cellStyles count="5">
    <cellStyle name="Heading" xfId="1" xr:uid="{97DC5579-ADE6-9D4C-9234-B38EA88ECD38}"/>
    <cellStyle name="Heading1" xfId="2" xr:uid="{D1572EC7-7254-A348-9CBB-01338AFF54EE}"/>
    <cellStyle name="Normal" xfId="0" builtinId="0" customBuiltin="1"/>
    <cellStyle name="Result" xfId="3" xr:uid="{3596539C-B85F-DB44-87AC-5B0F851D1DAE}"/>
    <cellStyle name="Result2" xfId="4" xr:uid="{D06FCB63-4550-6D48-A555-416BB24EC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2EBB-2F11-B54F-AF8D-FE6E57364C51}">
  <dimension ref="A1:M15"/>
  <sheetViews>
    <sheetView tabSelected="1" topLeftCell="G1" workbookViewId="0">
      <selection activeCell="I26" sqref="I26"/>
    </sheetView>
  </sheetViews>
  <sheetFormatPr baseColWidth="10" defaultRowHeight="18" x14ac:dyDescent="0.25"/>
  <cols>
    <col min="4" max="4" width="16.28515625" customWidth="1"/>
    <col min="5" max="5" width="18.140625" customWidth="1"/>
    <col min="9" max="9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54</v>
      </c>
      <c r="K1" t="s">
        <v>53</v>
      </c>
      <c r="L1" t="s">
        <v>55</v>
      </c>
      <c r="M1" t="s">
        <v>56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  <c r="M2">
        <v>0</v>
      </c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E3">
        <v>50</v>
      </c>
      <c r="F3">
        <v>90</v>
      </c>
      <c r="G3">
        <v>90</v>
      </c>
      <c r="H3">
        <v>80</v>
      </c>
      <c r="I3" s="1">
        <f>F3/100*40+G3/100*40+H3/100*20</f>
        <v>88</v>
      </c>
      <c r="J3">
        <v>65</v>
      </c>
      <c r="K3">
        <v>22</v>
      </c>
      <c r="L3">
        <f>J3+K3</f>
        <v>87</v>
      </c>
      <c r="M3" s="4">
        <f>E3/50*30+I3/100*35+L3/100*35</f>
        <v>91.25</v>
      </c>
    </row>
    <row r="4" spans="1:13" x14ac:dyDescent="0.25">
      <c r="A4" t="s">
        <v>12</v>
      </c>
      <c r="B4" t="s">
        <v>13</v>
      </c>
      <c r="C4" t="s">
        <v>14</v>
      </c>
      <c r="D4" t="s">
        <v>15</v>
      </c>
      <c r="E4">
        <v>33</v>
      </c>
      <c r="F4">
        <v>85</v>
      </c>
      <c r="G4">
        <v>61</v>
      </c>
      <c r="H4">
        <v>70</v>
      </c>
      <c r="I4" s="1">
        <f t="shared" ref="I4:I12" si="0">F4/100*40+G4/100*40+H4/100*20</f>
        <v>72.400000000000006</v>
      </c>
      <c r="J4">
        <v>43</v>
      </c>
      <c r="K4">
        <v>15</v>
      </c>
      <c r="L4">
        <f t="shared" ref="L4:L12" si="1">J4+K4</f>
        <v>58</v>
      </c>
      <c r="M4" s="4">
        <f t="shared" ref="M4:M12" si="2">E4/50*30+I4/100*35+L4/100*35</f>
        <v>65.44</v>
      </c>
    </row>
    <row r="5" spans="1:13" x14ac:dyDescent="0.25">
      <c r="A5" t="s">
        <v>16</v>
      </c>
      <c r="B5" t="s">
        <v>17</v>
      </c>
      <c r="C5" t="s">
        <v>18</v>
      </c>
      <c r="D5" t="s">
        <v>19</v>
      </c>
      <c r="E5">
        <v>47</v>
      </c>
      <c r="F5">
        <v>85</v>
      </c>
      <c r="G5">
        <v>84</v>
      </c>
      <c r="H5">
        <v>0</v>
      </c>
      <c r="I5" s="1">
        <f t="shared" si="0"/>
        <v>67.599999999999994</v>
      </c>
      <c r="J5">
        <v>61</v>
      </c>
      <c r="K5">
        <v>18</v>
      </c>
      <c r="L5">
        <f t="shared" si="1"/>
        <v>79</v>
      </c>
      <c r="M5" s="4">
        <f t="shared" si="2"/>
        <v>79.510000000000005</v>
      </c>
    </row>
    <row r="6" spans="1:13" x14ac:dyDescent="0.25">
      <c r="A6" t="s">
        <v>20</v>
      </c>
      <c r="B6" t="s">
        <v>21</v>
      </c>
      <c r="C6" t="s">
        <v>22</v>
      </c>
      <c r="D6" t="s">
        <v>23</v>
      </c>
      <c r="E6">
        <v>33</v>
      </c>
      <c r="F6">
        <v>75</v>
      </c>
      <c r="G6">
        <v>66</v>
      </c>
      <c r="H6">
        <v>70</v>
      </c>
      <c r="I6" s="1">
        <f t="shared" si="0"/>
        <v>70.400000000000006</v>
      </c>
      <c r="J6">
        <v>47</v>
      </c>
      <c r="K6">
        <v>15</v>
      </c>
      <c r="L6">
        <f t="shared" si="1"/>
        <v>62</v>
      </c>
      <c r="M6" s="4">
        <f t="shared" si="2"/>
        <v>66.14</v>
      </c>
    </row>
    <row r="7" spans="1:13" x14ac:dyDescent="0.25">
      <c r="A7" t="s">
        <v>24</v>
      </c>
      <c r="B7" t="s">
        <v>25</v>
      </c>
      <c r="C7" t="s">
        <v>26</v>
      </c>
      <c r="D7" t="s">
        <v>27</v>
      </c>
      <c r="E7">
        <v>44</v>
      </c>
      <c r="F7">
        <v>30</v>
      </c>
      <c r="G7">
        <v>45</v>
      </c>
      <c r="H7">
        <v>0</v>
      </c>
      <c r="I7" s="1">
        <f t="shared" si="0"/>
        <v>30</v>
      </c>
      <c r="J7">
        <v>49</v>
      </c>
      <c r="K7">
        <v>10</v>
      </c>
      <c r="L7">
        <f t="shared" si="1"/>
        <v>59</v>
      </c>
      <c r="M7" s="4">
        <f t="shared" si="2"/>
        <v>57.55</v>
      </c>
    </row>
    <row r="8" spans="1:13" x14ac:dyDescent="0.25">
      <c r="A8" t="s">
        <v>28</v>
      </c>
      <c r="B8" t="s">
        <v>29</v>
      </c>
      <c r="C8" t="s">
        <v>30</v>
      </c>
      <c r="D8" t="s">
        <v>31</v>
      </c>
      <c r="E8">
        <v>49</v>
      </c>
      <c r="F8">
        <v>75</v>
      </c>
      <c r="G8" s="3">
        <v>80</v>
      </c>
      <c r="H8">
        <v>30</v>
      </c>
      <c r="I8" s="2">
        <f t="shared" si="0"/>
        <v>68</v>
      </c>
      <c r="J8">
        <v>66</v>
      </c>
      <c r="K8">
        <v>20</v>
      </c>
      <c r="L8">
        <f t="shared" si="1"/>
        <v>86</v>
      </c>
      <c r="M8" s="4">
        <f t="shared" si="2"/>
        <v>83.3</v>
      </c>
    </row>
    <row r="9" spans="1:13" x14ac:dyDescent="0.25">
      <c r="A9" t="s">
        <v>32</v>
      </c>
      <c r="B9" t="s">
        <v>33</v>
      </c>
      <c r="C9" t="s">
        <v>34</v>
      </c>
      <c r="D9" t="s">
        <v>35</v>
      </c>
      <c r="E9">
        <v>46</v>
      </c>
      <c r="F9">
        <v>70</v>
      </c>
      <c r="G9">
        <v>77</v>
      </c>
      <c r="H9">
        <v>0</v>
      </c>
      <c r="I9" s="1">
        <f t="shared" si="0"/>
        <v>58.8</v>
      </c>
      <c r="J9">
        <v>58</v>
      </c>
      <c r="K9">
        <v>15</v>
      </c>
      <c r="L9">
        <f t="shared" si="1"/>
        <v>73</v>
      </c>
      <c r="M9" s="4">
        <f t="shared" si="2"/>
        <v>73.73</v>
      </c>
    </row>
    <row r="10" spans="1:13" x14ac:dyDescent="0.25">
      <c r="A10" t="s">
        <v>36</v>
      </c>
      <c r="B10" t="s">
        <v>37</v>
      </c>
      <c r="C10" t="s">
        <v>38</v>
      </c>
      <c r="D10" t="s">
        <v>39</v>
      </c>
      <c r="E10">
        <v>43</v>
      </c>
      <c r="F10">
        <v>85</v>
      </c>
      <c r="G10">
        <v>61</v>
      </c>
      <c r="H10">
        <v>60</v>
      </c>
      <c r="I10" s="1">
        <f t="shared" si="0"/>
        <v>70.400000000000006</v>
      </c>
      <c r="J10">
        <v>49</v>
      </c>
      <c r="K10">
        <v>11</v>
      </c>
      <c r="L10">
        <f t="shared" si="1"/>
        <v>60</v>
      </c>
      <c r="M10" s="4">
        <f t="shared" si="2"/>
        <v>71.44</v>
      </c>
    </row>
    <row r="11" spans="1:13" x14ac:dyDescent="0.25">
      <c r="A11" t="s">
        <v>40</v>
      </c>
      <c r="B11" t="s">
        <v>41</v>
      </c>
      <c r="C11" t="s">
        <v>42</v>
      </c>
      <c r="D11" t="s">
        <v>43</v>
      </c>
      <c r="E11">
        <v>41</v>
      </c>
      <c r="F11">
        <v>75</v>
      </c>
      <c r="G11" s="3">
        <v>73</v>
      </c>
      <c r="H11">
        <v>30</v>
      </c>
      <c r="I11" s="2">
        <f t="shared" si="0"/>
        <v>65.2</v>
      </c>
      <c r="J11">
        <v>46</v>
      </c>
      <c r="K11">
        <v>15</v>
      </c>
      <c r="L11">
        <f t="shared" si="1"/>
        <v>61</v>
      </c>
      <c r="M11" s="4">
        <f t="shared" si="2"/>
        <v>68.77</v>
      </c>
    </row>
    <row r="12" spans="1:13" x14ac:dyDescent="0.25">
      <c r="A12" t="s">
        <v>44</v>
      </c>
      <c r="B12" t="s">
        <v>45</v>
      </c>
      <c r="C12" t="s">
        <v>46</v>
      </c>
      <c r="D12" t="s">
        <v>47</v>
      </c>
      <c r="E12">
        <v>36</v>
      </c>
      <c r="F12">
        <v>75</v>
      </c>
      <c r="G12">
        <v>51</v>
      </c>
      <c r="H12">
        <v>0</v>
      </c>
      <c r="I12" s="1">
        <f t="shared" si="0"/>
        <v>50.4</v>
      </c>
      <c r="J12">
        <v>42</v>
      </c>
      <c r="K12">
        <v>18</v>
      </c>
      <c r="L12">
        <f t="shared" si="1"/>
        <v>60</v>
      </c>
      <c r="M12" s="4">
        <f t="shared" si="2"/>
        <v>60.239999999999995</v>
      </c>
    </row>
    <row r="14" spans="1:13" x14ac:dyDescent="0.25">
      <c r="I14" s="1"/>
      <c r="J14" s="1"/>
      <c r="K14" s="1"/>
      <c r="L14" s="1"/>
    </row>
    <row r="15" spans="1:13" x14ac:dyDescent="0.25">
      <c r="M15" s="1">
        <f>AVERAGE(M2:M12)</f>
        <v>65.215454545454534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2026-04-23T15:52:48Z</dcterms:created>
  <dcterms:modified xsi:type="dcterms:W3CDTF">2026-04-28T05:04:19Z</dcterms:modified>
</cp:coreProperties>
</file>