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imzada/Downloads/"/>
    </mc:Choice>
  </mc:AlternateContent>
  <xr:revisionPtr revIDLastSave="0" documentId="8_{B9EB1E59-CF00-9B4D-95BE-897064418612}" xr6:coauthVersionLast="47" xr6:coauthVersionMax="47" xr10:uidLastSave="{00000000-0000-0000-0000-000000000000}"/>
  <bookViews>
    <workbookView xWindow="4420" yWindow="680" windowWidth="25820" windowHeight="17660" xr2:uid="{27700FB2-3A64-CD42-9883-DB870348A959}"/>
  </bookViews>
  <sheets>
    <sheet name="Grades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" l="1"/>
  <c r="P3" i="1"/>
  <c r="P4" i="1"/>
  <c r="P5" i="1"/>
  <c r="P6" i="1"/>
  <c r="P7" i="1"/>
  <c r="P2" i="1"/>
  <c r="O7" i="1"/>
  <c r="O3" i="1"/>
  <c r="O4" i="1"/>
  <c r="O5" i="1"/>
  <c r="O6" i="1"/>
  <c r="O2" i="1"/>
  <c r="N7" i="1"/>
  <c r="N6" i="1"/>
  <c r="N5" i="1"/>
  <c r="N3" i="1"/>
  <c r="N4" i="1"/>
  <c r="N2" i="1"/>
  <c r="M3" i="1"/>
  <c r="M4" i="1"/>
  <c r="M5" i="1"/>
  <c r="M6" i="1"/>
  <c r="M7" i="1"/>
  <c r="M2" i="1"/>
</calcChain>
</file>

<file path=xl/sharedStrings.xml><?xml version="1.0" encoding="utf-8"?>
<sst xmlns="http://schemas.openxmlformats.org/spreadsheetml/2006/main" count="39" uniqueCount="39">
  <si>
    <t>First name</t>
  </si>
  <si>
    <t>Last name</t>
  </si>
  <si>
    <t>ID number</t>
  </si>
  <si>
    <t>Email address</t>
  </si>
  <si>
    <t>Grace</t>
  </si>
  <si>
    <t>Barwise</t>
  </si>
  <si>
    <t>230156854</t>
  </si>
  <si>
    <t>gbarwise@unbc.ca</t>
  </si>
  <si>
    <t>Akhil</t>
  </si>
  <si>
    <t>Mandhalapu</t>
  </si>
  <si>
    <t>230155029</t>
  </si>
  <si>
    <t>mandhalap@unbc.ca</t>
  </si>
  <si>
    <t>Vincent</t>
  </si>
  <si>
    <t>Mbodi</t>
  </si>
  <si>
    <t>230148984</t>
  </si>
  <si>
    <t>mbodi@unbc.ca</t>
  </si>
  <si>
    <t>Emily</t>
  </si>
  <si>
    <t>Roberts</t>
  </si>
  <si>
    <t>230154138</t>
  </si>
  <si>
    <t>eroberts@unbc.ca</t>
  </si>
  <si>
    <t>Charles</t>
  </si>
  <si>
    <t>Sullivan</t>
  </si>
  <si>
    <t>230156267</t>
  </si>
  <si>
    <t>sullivan2@unbc.ca</t>
  </si>
  <si>
    <t>Amneet</t>
  </si>
  <si>
    <t>Toor</t>
  </si>
  <si>
    <t>230158276</t>
  </si>
  <si>
    <t>toor2@unbc.ca</t>
  </si>
  <si>
    <t>Quiz 1 (20)</t>
  </si>
  <si>
    <t>Quiz 2 (20)</t>
  </si>
  <si>
    <t>Quiz 3 (20)</t>
  </si>
  <si>
    <t>Quiz 4 (10)</t>
  </si>
  <si>
    <t>Quiz 5 (20)</t>
  </si>
  <si>
    <t>Midterm Exam 1 (50)</t>
  </si>
  <si>
    <t>Midterm Exam 2 (50)</t>
  </si>
  <si>
    <t>Final Exam (90)</t>
  </si>
  <si>
    <t>Final Exam (100)</t>
  </si>
  <si>
    <t>Quizzes Total</t>
  </si>
  <si>
    <t>Final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</si>
</sst>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2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5">
    <cellStyle name="Heading" xfId="1" xr:uid="{51EFE8DC-8582-F648-BC50-5520450CFAEA}"/>
    <cellStyle name="Heading1" xfId="2" xr:uid="{0D9CF94F-1620-0C40-B997-99D642A38BB8}"/>
    <cellStyle name="Normal" xfId="0" builtinId="0" customBuiltin="1"/>
    <cellStyle name="Result" xfId="3" xr:uid="{C4D20F65-8AE5-524E-8816-97DBE88B8D7D}"/>
    <cellStyle name="Result2" xfId="4" xr:uid="{C355C447-A956-084B-845A-3DF2345056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669B-BF97-B449-9FFD-685BD7BE679F}">
  <dimension ref="A1:P10"/>
  <sheetViews>
    <sheetView tabSelected="1" topLeftCell="C1" workbookViewId="0">
      <selection activeCell="P11" sqref="P11"/>
    </sheetView>
  </sheetViews>
  <sheetFormatPr baseColWidth="10" defaultRowHeight="18" x14ac:dyDescent="0.25"/>
  <cols>
    <col min="12" max="12" width="13.5703125" customWidth="1"/>
    <col min="13" max="13" width="13.42578125" customWidth="1"/>
    <col min="14" max="14" width="12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 spans="1:16" x14ac:dyDescent="0.25">
      <c r="A2" t="s">
        <v>4</v>
      </c>
      <c r="B2" t="s">
        <v>5</v>
      </c>
      <c r="C2" t="s">
        <v>6</v>
      </c>
      <c r="D2" t="s">
        <v>7</v>
      </c>
      <c r="E2">
        <v>20</v>
      </c>
      <c r="F2">
        <v>4</v>
      </c>
      <c r="G2">
        <v>19</v>
      </c>
      <c r="H2">
        <v>7</v>
      </c>
      <c r="I2">
        <v>15</v>
      </c>
      <c r="J2">
        <v>27</v>
      </c>
      <c r="K2">
        <v>28</v>
      </c>
      <c r="L2">
        <v>64</v>
      </c>
      <c r="M2" s="1">
        <f>L2/90*100</f>
        <v>71.111111111111114</v>
      </c>
      <c r="N2">
        <f>E2/20*2.5+G2/20*2.5+H2/10*2.5+I2/20*2.5</f>
        <v>8.5</v>
      </c>
      <c r="O2" s="2">
        <f>J2/50*25+K2/50*25+M2/100*40+N2</f>
        <v>64.444444444444443</v>
      </c>
      <c r="P2" s="2">
        <f>O2+8</f>
        <v>72.444444444444443</v>
      </c>
    </row>
    <row r="3" spans="1:16" x14ac:dyDescent="0.25">
      <c r="A3" t="s">
        <v>8</v>
      </c>
      <c r="B3" t="s">
        <v>9</v>
      </c>
      <c r="C3" t="s">
        <v>10</v>
      </c>
      <c r="D3" t="s">
        <v>11</v>
      </c>
      <c r="E3">
        <v>0</v>
      </c>
      <c r="F3">
        <v>10</v>
      </c>
      <c r="G3">
        <v>18</v>
      </c>
      <c r="H3">
        <v>4</v>
      </c>
      <c r="I3">
        <v>13</v>
      </c>
      <c r="J3">
        <v>31</v>
      </c>
      <c r="K3">
        <v>29</v>
      </c>
      <c r="L3">
        <v>52</v>
      </c>
      <c r="M3" s="1">
        <f t="shared" ref="M3:M7" si="0">L3/90*100</f>
        <v>57.777777777777771</v>
      </c>
      <c r="N3">
        <f>F3/20*2.5+G3/20*2.5+H3/10*2.5+I3/20*2.5</f>
        <v>6.125</v>
      </c>
      <c r="O3" s="2">
        <f t="shared" ref="O3:O7" si="1">J3/50*25+K3/50*25+M3/100*40+N3</f>
        <v>59.236111111111107</v>
      </c>
      <c r="P3" s="2">
        <f t="shared" ref="P3:P7" si="2">O3+8</f>
        <v>67.236111111111114</v>
      </c>
    </row>
    <row r="4" spans="1:16" x14ac:dyDescent="0.25">
      <c r="A4" t="s">
        <v>12</v>
      </c>
      <c r="B4" t="s">
        <v>13</v>
      </c>
      <c r="C4" t="s">
        <v>14</v>
      </c>
      <c r="D4" t="s">
        <v>15</v>
      </c>
      <c r="E4">
        <v>14</v>
      </c>
      <c r="F4">
        <v>3</v>
      </c>
      <c r="G4">
        <v>10</v>
      </c>
      <c r="H4">
        <v>6</v>
      </c>
      <c r="I4">
        <v>14</v>
      </c>
      <c r="J4">
        <v>28</v>
      </c>
      <c r="K4">
        <v>30</v>
      </c>
      <c r="L4">
        <v>52</v>
      </c>
      <c r="M4" s="1">
        <f t="shared" si="0"/>
        <v>57.777777777777771</v>
      </c>
      <c r="N4">
        <f t="shared" ref="N3:N7" si="3">E4/20*2.5+G4/20*2.5+H4/10*2.5+I4/20*2.5</f>
        <v>6.25</v>
      </c>
      <c r="O4" s="2">
        <f t="shared" si="1"/>
        <v>58.361111111111107</v>
      </c>
      <c r="P4" s="2">
        <f t="shared" si="2"/>
        <v>66.361111111111114</v>
      </c>
    </row>
    <row r="5" spans="1:16" x14ac:dyDescent="0.25">
      <c r="A5" t="s">
        <v>16</v>
      </c>
      <c r="B5" t="s">
        <v>17</v>
      </c>
      <c r="C5" t="s">
        <v>18</v>
      </c>
      <c r="D5" t="s">
        <v>19</v>
      </c>
      <c r="E5">
        <v>0</v>
      </c>
      <c r="F5">
        <v>11</v>
      </c>
      <c r="G5">
        <v>19</v>
      </c>
      <c r="H5">
        <v>7</v>
      </c>
      <c r="I5">
        <v>19</v>
      </c>
      <c r="J5">
        <v>36</v>
      </c>
      <c r="K5">
        <v>32</v>
      </c>
      <c r="L5">
        <v>57</v>
      </c>
      <c r="M5" s="1">
        <f t="shared" si="0"/>
        <v>63.333333333333329</v>
      </c>
      <c r="N5">
        <f>F5/20*2.5+G5/20*2.5+H5/10*2.5+I5/20*2.5</f>
        <v>7.875</v>
      </c>
      <c r="O5" s="2">
        <f t="shared" si="1"/>
        <v>67.208333333333329</v>
      </c>
      <c r="P5" s="2">
        <f t="shared" si="2"/>
        <v>75.208333333333329</v>
      </c>
    </row>
    <row r="6" spans="1:16" x14ac:dyDescent="0.25">
      <c r="A6" t="s">
        <v>20</v>
      </c>
      <c r="B6" t="s">
        <v>21</v>
      </c>
      <c r="C6" t="s">
        <v>22</v>
      </c>
      <c r="D6" t="s">
        <v>23</v>
      </c>
      <c r="E6">
        <v>9</v>
      </c>
      <c r="F6">
        <v>8</v>
      </c>
      <c r="G6">
        <v>14</v>
      </c>
      <c r="H6">
        <v>4</v>
      </c>
      <c r="I6">
        <v>13</v>
      </c>
      <c r="J6">
        <v>25</v>
      </c>
      <c r="K6">
        <v>27</v>
      </c>
      <c r="L6">
        <v>52</v>
      </c>
      <c r="M6" s="1">
        <f t="shared" si="0"/>
        <v>57.777777777777771</v>
      </c>
      <c r="N6">
        <f>E6/20*2.5+G6/20*2.5+F6/10*2.5+I6/20*2.5</f>
        <v>6.5</v>
      </c>
      <c r="O6" s="2">
        <f t="shared" si="1"/>
        <v>55.611111111111107</v>
      </c>
      <c r="P6" s="2">
        <f t="shared" si="2"/>
        <v>63.611111111111107</v>
      </c>
    </row>
    <row r="7" spans="1:16" x14ac:dyDescent="0.25">
      <c r="A7" t="s">
        <v>24</v>
      </c>
      <c r="B7" t="s">
        <v>25</v>
      </c>
      <c r="C7" t="s">
        <v>26</v>
      </c>
      <c r="D7" t="s">
        <v>27</v>
      </c>
      <c r="E7">
        <v>15</v>
      </c>
      <c r="F7">
        <v>10</v>
      </c>
      <c r="G7">
        <v>4</v>
      </c>
      <c r="H7">
        <v>5</v>
      </c>
      <c r="I7">
        <v>18</v>
      </c>
      <c r="J7">
        <v>25</v>
      </c>
      <c r="K7">
        <v>0</v>
      </c>
      <c r="L7">
        <v>37</v>
      </c>
      <c r="M7" s="1">
        <f t="shared" si="0"/>
        <v>41.111111111111107</v>
      </c>
      <c r="N7">
        <f>E7/20*2.5+F7/20*2.5+H7/10*2.5+I7/20*2.5</f>
        <v>6.625</v>
      </c>
      <c r="O7" s="2">
        <f>J7/50*50+M7/100*40+N7</f>
        <v>48.069444444444443</v>
      </c>
      <c r="P7" s="2">
        <f t="shared" si="2"/>
        <v>56.069444444444443</v>
      </c>
    </row>
    <row r="10" spans="1:16" x14ac:dyDescent="0.25">
      <c r="P10" s="2">
        <f>AVERAGE(P2:P7)</f>
        <v>66.821759259259252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Muhebullah Karimzada</dc:creator>
  <cp:lastModifiedBy>Muhebullah Karimzada</cp:lastModifiedBy>
  <dcterms:created xsi:type="dcterms:W3CDTF">2025-12-12T17:59:17Z</dcterms:created>
  <dcterms:modified xsi:type="dcterms:W3CDTF">2025-12-13T02:15:49Z</dcterms:modified>
</cp:coreProperties>
</file>