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MK1/Google Drive/Teaching 2025/Fall 2025/ECON 101/Grades/"/>
    </mc:Choice>
  </mc:AlternateContent>
  <xr:revisionPtr revIDLastSave="0" documentId="8_{A14BC081-1543-3B46-80E4-0C68FEDABD8B}" xr6:coauthVersionLast="47" xr6:coauthVersionMax="47" xr10:uidLastSave="{00000000-0000-0000-0000-000000000000}"/>
  <bookViews>
    <workbookView xWindow="0" yWindow="500" windowWidth="28800" windowHeight="17500" activeTab="1" xr2:uid="{80DBDD6A-25E9-C34A-967B-B0BC8612B1E1}"/>
  </bookViews>
  <sheets>
    <sheet name="Grades" sheetId="1" r:id="rId1"/>
    <sheet name="Sheet1" sheetId="2" r:id="rId2"/>
  </sheets>
  <definedNames>
    <definedName name="_xlchart.v1.0" hidden="1">Sheet1!$E$2:$E$35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7" i="2" l="1"/>
  <c r="E32" i="2"/>
  <c r="E25" i="2"/>
  <c r="E2" i="2"/>
  <c r="E22" i="2"/>
  <c r="E5" i="2"/>
  <c r="E35" i="2"/>
  <c r="E14" i="2"/>
  <c r="E3" i="2"/>
  <c r="E33" i="2"/>
  <c r="E17" i="2"/>
  <c r="E9" i="2"/>
  <c r="E34" i="2"/>
  <c r="E13" i="2"/>
  <c r="E18" i="2"/>
  <c r="E11" i="2"/>
  <c r="E7" i="2"/>
  <c r="E29" i="2"/>
  <c r="E16" i="2"/>
  <c r="E28" i="2"/>
  <c r="E15" i="2"/>
  <c r="E21" i="2"/>
  <c r="E23" i="2"/>
  <c r="E24" i="2"/>
  <c r="E26" i="2"/>
  <c r="E20" i="2"/>
  <c r="E31" i="2"/>
  <c r="E10" i="2"/>
  <c r="E4" i="2"/>
  <c r="E6" i="2"/>
  <c r="E30" i="2"/>
  <c r="E19" i="2"/>
  <c r="E12" i="2"/>
  <c r="E8" i="2"/>
  <c r="D38" i="2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" i="1"/>
  <c r="Q4" i="1"/>
  <c r="Q5" i="1"/>
  <c r="Q6" i="1"/>
  <c r="Q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2" i="1"/>
  <c r="L3" i="1"/>
  <c r="R3" i="1" s="1"/>
  <c r="L4" i="1"/>
  <c r="R4" i="1" s="1"/>
  <c r="L5" i="1"/>
  <c r="R5" i="1" s="1"/>
  <c r="L6" i="1"/>
  <c r="R6" i="1" s="1"/>
  <c r="L7" i="1"/>
  <c r="R7" i="1" s="1"/>
  <c r="L8" i="1"/>
  <c r="R8" i="1" s="1"/>
  <c r="L9" i="1"/>
  <c r="R9" i="1" s="1"/>
  <c r="L10" i="1"/>
  <c r="R10" i="1" s="1"/>
  <c r="L11" i="1"/>
  <c r="R11" i="1" s="1"/>
  <c r="L12" i="1"/>
  <c r="R12" i="1" s="1"/>
  <c r="L13" i="1"/>
  <c r="R13" i="1" s="1"/>
  <c r="L14" i="1"/>
  <c r="R14" i="1" s="1"/>
  <c r="L15" i="1"/>
  <c r="R15" i="1" s="1"/>
  <c r="L16" i="1"/>
  <c r="R16" i="1" s="1"/>
  <c r="L17" i="1"/>
  <c r="R17" i="1" s="1"/>
  <c r="L18" i="1"/>
  <c r="R18" i="1" s="1"/>
  <c r="L19" i="1"/>
  <c r="R19" i="1" s="1"/>
  <c r="L20" i="1"/>
  <c r="R20" i="1" s="1"/>
  <c r="L21" i="1"/>
  <c r="R21" i="1" s="1"/>
  <c r="L22" i="1"/>
  <c r="R22" i="1" s="1"/>
  <c r="L23" i="1"/>
  <c r="R23" i="1" s="1"/>
  <c r="L24" i="1"/>
  <c r="R24" i="1" s="1"/>
  <c r="L25" i="1"/>
  <c r="R25" i="1" s="1"/>
  <c r="L26" i="1"/>
  <c r="R26" i="1" s="1"/>
  <c r="L27" i="1"/>
  <c r="R27" i="1" s="1"/>
  <c r="L28" i="1"/>
  <c r="R28" i="1" s="1"/>
  <c r="L29" i="1"/>
  <c r="R29" i="1" s="1"/>
  <c r="L30" i="1"/>
  <c r="R30" i="1" s="1"/>
  <c r="L31" i="1"/>
  <c r="R31" i="1" s="1"/>
  <c r="L32" i="1"/>
  <c r="R32" i="1" s="1"/>
  <c r="L33" i="1"/>
  <c r="R33" i="1" s="1"/>
  <c r="L34" i="1"/>
  <c r="R34" i="1" s="1"/>
  <c r="L35" i="1"/>
  <c r="R35" i="1" s="1"/>
  <c r="L2" i="1"/>
  <c r="R2" i="1" s="1"/>
  <c r="E38" i="2" l="1"/>
</calcChain>
</file>

<file path=xl/sharedStrings.xml><?xml version="1.0" encoding="utf-8"?>
<sst xmlns="http://schemas.openxmlformats.org/spreadsheetml/2006/main" count="261" uniqueCount="154">
  <si>
    <t>First name</t>
  </si>
  <si>
    <t>Last name</t>
  </si>
  <si>
    <t>ID number</t>
  </si>
  <si>
    <t>Email address</t>
  </si>
  <si>
    <t>Quiz 1 (Real)</t>
  </si>
  <si>
    <t>Quiz 2 (Real)</t>
  </si>
  <si>
    <t>Quiz 3 (Real)</t>
  </si>
  <si>
    <t>Quiz 4 (Real)</t>
  </si>
  <si>
    <t>Quiz 5 (Real)</t>
  </si>
  <si>
    <t>Quiz 6 (Real)</t>
  </si>
  <si>
    <t>Christina Rachel Joy</t>
  </si>
  <si>
    <t>-</t>
  </si>
  <si>
    <t>230160207</t>
  </si>
  <si>
    <t>christina@unbc.ca</t>
  </si>
  <si>
    <t>Manveer Singh</t>
  </si>
  <si>
    <t>.</t>
  </si>
  <si>
    <t>230170149</t>
  </si>
  <si>
    <t>manveer@unbc.ca</t>
  </si>
  <si>
    <t>Sherin</t>
  </si>
  <si>
    <t>Abraham</t>
  </si>
  <si>
    <t>230152301</t>
  </si>
  <si>
    <t>sherin@unbc.ca</t>
  </si>
  <si>
    <t>Arish</t>
  </si>
  <si>
    <t>Ali</t>
  </si>
  <si>
    <t>230165475</t>
  </si>
  <si>
    <t>ali6@unbc.ca</t>
  </si>
  <si>
    <t>Stephanie</t>
  </si>
  <si>
    <t>Bannister</t>
  </si>
  <si>
    <t>230169657</t>
  </si>
  <si>
    <t>sbanniste@unbc.ca</t>
  </si>
  <si>
    <t>Conor</t>
  </si>
  <si>
    <t>Burbee</t>
  </si>
  <si>
    <t>230168357</t>
  </si>
  <si>
    <t>cburbee@unbc.ca</t>
  </si>
  <si>
    <t>John</t>
  </si>
  <si>
    <t>Charles</t>
  </si>
  <si>
    <t>230160334</t>
  </si>
  <si>
    <t>jcharles@unbc.ca</t>
  </si>
  <si>
    <t>Hong Ngoc</t>
  </si>
  <si>
    <t>Chau</t>
  </si>
  <si>
    <t>230169265</t>
  </si>
  <si>
    <t>hchau@unbc.ca</t>
  </si>
  <si>
    <t>Daniel</t>
  </si>
  <si>
    <t>de Kroon</t>
  </si>
  <si>
    <t>230162455</t>
  </si>
  <si>
    <t>dde@unbc.ca</t>
  </si>
  <si>
    <t>Mitchel</t>
  </si>
  <si>
    <t>Dohwe</t>
  </si>
  <si>
    <t>230165343</t>
  </si>
  <si>
    <t>dohwe@unbc.ca</t>
  </si>
  <si>
    <t>Harshvardhan</t>
  </si>
  <si>
    <t>Dubey</t>
  </si>
  <si>
    <t>230165340</t>
  </si>
  <si>
    <t>hdubey@unbc.ca</t>
  </si>
  <si>
    <t>Lilly</t>
  </si>
  <si>
    <t>Harmon</t>
  </si>
  <si>
    <t>230167267</t>
  </si>
  <si>
    <t>harmon@unbc.ca</t>
  </si>
  <si>
    <t>Tanmay</t>
  </si>
  <si>
    <t>Hastir</t>
  </si>
  <si>
    <t>230168165</t>
  </si>
  <si>
    <t>hastir@unbc.ca</t>
  </si>
  <si>
    <t>Madeline</t>
  </si>
  <si>
    <t>Hesse</t>
  </si>
  <si>
    <t>230166706</t>
  </si>
  <si>
    <t>mhesse@unbc.ca</t>
  </si>
  <si>
    <t>Morgan</t>
  </si>
  <si>
    <t>Hildebrandt</t>
  </si>
  <si>
    <t>230169527</t>
  </si>
  <si>
    <t>hildebram@unbc.ca</t>
  </si>
  <si>
    <t>Francia</t>
  </si>
  <si>
    <t>Inda Rocha</t>
  </si>
  <si>
    <t>230158281</t>
  </si>
  <si>
    <t>inda@unbc.ca</t>
  </si>
  <si>
    <t>Bryanna</t>
  </si>
  <si>
    <t>Jacklin</t>
  </si>
  <si>
    <t>230163925</t>
  </si>
  <si>
    <t>jacklin@unbc.ca</t>
  </si>
  <si>
    <t>Bashar</t>
  </si>
  <si>
    <t>Kora Mohamed</t>
  </si>
  <si>
    <t>230168839</t>
  </si>
  <si>
    <t>bkora@unbc.ca</t>
  </si>
  <si>
    <t>Tucker</t>
  </si>
  <si>
    <t>Krause</t>
  </si>
  <si>
    <t>230170284</t>
  </si>
  <si>
    <t>tkrause@unbc.ca</t>
  </si>
  <si>
    <t>Liam</t>
  </si>
  <si>
    <t>LeFebvre</t>
  </si>
  <si>
    <t>230162515</t>
  </si>
  <si>
    <t>llefebvre@unbc.ca</t>
  </si>
  <si>
    <t>Mani</t>
  </si>
  <si>
    <t>Low</t>
  </si>
  <si>
    <t>230167016</t>
  </si>
  <si>
    <t>mlow@unbc.ca</t>
  </si>
  <si>
    <t>Zeeshan</t>
  </si>
  <si>
    <t>Malik</t>
  </si>
  <si>
    <t>230156999</t>
  </si>
  <si>
    <t>zmalik@unbc.ca</t>
  </si>
  <si>
    <t>Samuel</t>
  </si>
  <si>
    <t>Mellquist</t>
  </si>
  <si>
    <t>230168932</t>
  </si>
  <si>
    <t>smellquis@unbc.ca</t>
  </si>
  <si>
    <t>Aditya</t>
  </si>
  <si>
    <t>Nair</t>
  </si>
  <si>
    <t>230158095</t>
  </si>
  <si>
    <t>asunil@unbc.ca</t>
  </si>
  <si>
    <t>Maddy</t>
  </si>
  <si>
    <t>Percy</t>
  </si>
  <si>
    <t>230170351</t>
  </si>
  <si>
    <t>mpercy@unbc.ca</t>
  </si>
  <si>
    <t>Evy</t>
  </si>
  <si>
    <t>Russell</t>
  </si>
  <si>
    <t>230169951</t>
  </si>
  <si>
    <t>erussell2@unbc.ca</t>
  </si>
  <si>
    <t>Kayla</t>
  </si>
  <si>
    <t>Sexsmith</t>
  </si>
  <si>
    <t>230168408</t>
  </si>
  <si>
    <t>ksexsmith@unbc.ca</t>
  </si>
  <si>
    <t>Mohammed Fahad</t>
  </si>
  <si>
    <t>Shaikh</t>
  </si>
  <si>
    <t>230160114</t>
  </si>
  <si>
    <t>shaikh2@unbc.ca</t>
  </si>
  <si>
    <t>Aarush</t>
  </si>
  <si>
    <t>Sharma</t>
  </si>
  <si>
    <t>230168705</t>
  </si>
  <si>
    <t>asharma6@unbc.ca</t>
  </si>
  <si>
    <t>Sinclair</t>
  </si>
  <si>
    <t>230155053</t>
  </si>
  <si>
    <t>sinclairl@unbc.ca</t>
  </si>
  <si>
    <t>Bhavamanyu</t>
  </si>
  <si>
    <t>Singh</t>
  </si>
  <si>
    <t>230167482</t>
  </si>
  <si>
    <t>singhb6@unbc.ca</t>
  </si>
  <si>
    <t>Helly</t>
  </si>
  <si>
    <t>Soni</t>
  </si>
  <si>
    <t>230158449</t>
  </si>
  <si>
    <t>hsoni@unbc.ca</t>
  </si>
  <si>
    <t>Kavan</t>
  </si>
  <si>
    <t>Varaich</t>
  </si>
  <si>
    <t>230166226</t>
  </si>
  <si>
    <t>varaichk@unbc.ca</t>
  </si>
  <si>
    <t>Odin</t>
  </si>
  <si>
    <t>Witso</t>
  </si>
  <si>
    <t>230165685</t>
  </si>
  <si>
    <t>witso@unbc.ca</t>
  </si>
  <si>
    <t>Midterm Exam 1 (65)</t>
  </si>
  <si>
    <t>Midterm Exam 1 (100)</t>
  </si>
  <si>
    <t>Midterm_Exam 2 (65)</t>
  </si>
  <si>
    <t>Midterm_Exam 2 (100)</t>
  </si>
  <si>
    <t>Final Exam (80)</t>
  </si>
  <si>
    <t>Final Exam (100)</t>
  </si>
  <si>
    <t>Quizzes Total</t>
  </si>
  <si>
    <t>Final Grade</t>
  </si>
  <si>
    <t>Adjusted FG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</si>
</sst>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rial Unicode MS"/>
      <family val="2"/>
    </font>
    <font>
      <b/>
      <i/>
      <sz val="16"/>
      <color theme="1"/>
      <name val="Arial Unicode MS"/>
      <family val="2"/>
    </font>
    <font>
      <b/>
      <i/>
      <u/>
      <sz val="12"/>
      <color theme="1"/>
      <name val="Arial Unicode MS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>
      <alignment horizontal="center"/>
    </xf>
    <xf numFmtId="0" fontId="1" fillId="0" borderId="0">
      <alignment horizontal="center" textRotation="90"/>
    </xf>
    <xf numFmtId="0" fontId="2" fillId="0" borderId="0"/>
    <xf numFmtId="0" fontId="2" fillId="0" borderId="0"/>
  </cellStyleXfs>
  <cellXfs count="5">
    <xf numFmtId="0" fontId="0" fillId="0" borderId="0" xfId="0"/>
    <xf numFmtId="2" fontId="0" fillId="0" borderId="0" xfId="0" applyNumberFormat="1"/>
    <xf numFmtId="1" fontId="0" fillId="0" borderId="0" xfId="0" applyNumberFormat="1"/>
    <xf numFmtId="0" fontId="0" fillId="2" borderId="0" xfId="0" applyFill="1"/>
    <xf numFmtId="2" fontId="0" fillId="2" borderId="0" xfId="0" applyNumberFormat="1" applyFill="1"/>
  </cellXfs>
  <cellStyles count="5">
    <cellStyle name="Heading" xfId="1" xr:uid="{4FB20298-F876-C645-9FDB-4E5DA92CC4AE}"/>
    <cellStyle name="Heading1" xfId="2" xr:uid="{F78DC3E2-73E4-FE4E-9F4E-BFE4E7D6AA5A}"/>
    <cellStyle name="Normal" xfId="0" builtinId="0" customBuiltin="1"/>
    <cellStyle name="Result" xfId="3" xr:uid="{E159C790-DE4F-9A4E-97A1-A431D07D2FA0}"/>
    <cellStyle name="Result2" xfId="4" xr:uid="{F0A44C26-47F6-464C-B6AF-0D212A48D29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/>
    <cx:plotArea>
      <cx:plotAreaRegion>
        <cx:series layoutId="clusteredColumn" uniqueId="{117D2A62-F517-424B-91D7-C027D2E39137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260350</xdr:colOff>
      <xdr:row>16</xdr:row>
      <xdr:rowOff>19050</xdr:rowOff>
    </xdr:from>
    <xdr:to>
      <xdr:col>10</xdr:col>
      <xdr:colOff>69850</xdr:colOff>
      <xdr:row>28</xdr:row>
      <xdr:rowOff>19050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2D0EE243-A287-70ED-C84D-7DA497443D4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051550" y="367665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2CC69-0A9B-2242-BE33-C4968C1C9B31}">
  <dimension ref="A1:R35"/>
  <sheetViews>
    <sheetView workbookViewId="0">
      <selection activeCell="A19" sqref="A19:XFD19"/>
    </sheetView>
  </sheetViews>
  <sheetFormatPr baseColWidth="10" defaultRowHeight="18" x14ac:dyDescent="0.25"/>
  <cols>
    <col min="11" max="11" width="16.85546875" customWidth="1"/>
    <col min="12" max="12" width="17.85546875" customWidth="1"/>
    <col min="13" max="13" width="19.42578125" customWidth="1"/>
    <col min="14" max="14" width="17.85546875" customWidth="1"/>
    <col min="15" max="16" width="13.42578125" customWidth="1"/>
    <col min="17" max="17" width="12.140625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145</v>
      </c>
      <c r="L1" t="s">
        <v>146</v>
      </c>
      <c r="M1" t="s">
        <v>147</v>
      </c>
      <c r="N1" t="s">
        <v>148</v>
      </c>
      <c r="O1" t="s">
        <v>149</v>
      </c>
      <c r="P1" t="s">
        <v>150</v>
      </c>
      <c r="Q1" t="s">
        <v>151</v>
      </c>
      <c r="R1" t="s">
        <v>152</v>
      </c>
    </row>
    <row r="2" spans="1:18" x14ac:dyDescent="0.25">
      <c r="A2" t="s">
        <v>10</v>
      </c>
      <c r="B2" t="s">
        <v>11</v>
      </c>
      <c r="C2" t="s">
        <v>12</v>
      </c>
      <c r="D2" t="s">
        <v>13</v>
      </c>
      <c r="E2">
        <v>13.5</v>
      </c>
      <c r="F2">
        <v>12</v>
      </c>
      <c r="G2">
        <v>8</v>
      </c>
      <c r="H2">
        <v>0</v>
      </c>
      <c r="I2">
        <v>1</v>
      </c>
      <c r="J2">
        <v>0</v>
      </c>
      <c r="K2">
        <v>31.25</v>
      </c>
      <c r="L2" s="1">
        <f>K2/65*100</f>
        <v>48.07692307692308</v>
      </c>
      <c r="M2">
        <v>35.5</v>
      </c>
      <c r="N2">
        <f>M2/65*100</f>
        <v>54.615384615384613</v>
      </c>
      <c r="O2">
        <v>36</v>
      </c>
      <c r="P2">
        <f>O2/80*100</f>
        <v>45</v>
      </c>
      <c r="Q2">
        <f>(SUM(E2:J2)-MIN(E2:J2))/(5*20)*10</f>
        <v>3.4499999999999997</v>
      </c>
      <c r="R2" s="2">
        <f>L2*0.25+N2*0.25+P2*0.4+Q2</f>
        <v>47.123076923076923</v>
      </c>
    </row>
    <row r="3" spans="1:18" x14ac:dyDescent="0.25">
      <c r="A3" t="s">
        <v>14</v>
      </c>
      <c r="B3" t="s">
        <v>15</v>
      </c>
      <c r="C3" t="s">
        <v>16</v>
      </c>
      <c r="D3" t="s">
        <v>17</v>
      </c>
      <c r="E3">
        <v>9.5</v>
      </c>
      <c r="F3">
        <v>18</v>
      </c>
      <c r="G3">
        <v>10</v>
      </c>
      <c r="H3">
        <v>10</v>
      </c>
      <c r="I3">
        <v>4</v>
      </c>
      <c r="J3">
        <v>10</v>
      </c>
      <c r="K3">
        <v>33.25</v>
      </c>
      <c r="L3" s="1">
        <f t="shared" ref="L3:L35" si="0">K3/65*100</f>
        <v>51.153846153846146</v>
      </c>
      <c r="M3">
        <v>40.5</v>
      </c>
      <c r="N3">
        <f t="shared" ref="N3:N35" si="1">M3/65*100</f>
        <v>62.307692307692307</v>
      </c>
      <c r="O3">
        <v>39</v>
      </c>
      <c r="P3">
        <f t="shared" ref="P3:P35" si="2">O3/80*100</f>
        <v>48.75</v>
      </c>
      <c r="Q3">
        <f t="shared" ref="Q3:Q35" si="3">(SUM(E3:J3)-MIN(E3:J3))/(5*20)*10</f>
        <v>5.75</v>
      </c>
      <c r="R3" s="2">
        <f t="shared" ref="R3:R35" si="4">L3*0.25+N3*0.25+P3*0.4+Q3</f>
        <v>53.615384615384613</v>
      </c>
    </row>
    <row r="4" spans="1:18" x14ac:dyDescent="0.25">
      <c r="A4" t="s">
        <v>18</v>
      </c>
      <c r="B4" t="s">
        <v>19</v>
      </c>
      <c r="C4" t="s">
        <v>20</v>
      </c>
      <c r="D4" t="s">
        <v>21</v>
      </c>
      <c r="E4">
        <v>20</v>
      </c>
      <c r="F4">
        <v>0</v>
      </c>
      <c r="G4">
        <v>0</v>
      </c>
      <c r="H4">
        <v>0</v>
      </c>
      <c r="I4">
        <v>0</v>
      </c>
      <c r="J4">
        <v>0</v>
      </c>
      <c r="K4" s="3">
        <v>0</v>
      </c>
      <c r="L4" s="4">
        <f t="shared" si="0"/>
        <v>0</v>
      </c>
      <c r="M4">
        <v>35.5</v>
      </c>
      <c r="N4">
        <f t="shared" si="1"/>
        <v>54.615384615384613</v>
      </c>
      <c r="O4" s="3">
        <v>0</v>
      </c>
      <c r="P4" s="3">
        <f t="shared" si="2"/>
        <v>0</v>
      </c>
      <c r="Q4">
        <f t="shared" si="3"/>
        <v>2</v>
      </c>
      <c r="R4" s="2">
        <f t="shared" si="4"/>
        <v>15.653846153846153</v>
      </c>
    </row>
    <row r="5" spans="1:18" x14ac:dyDescent="0.25">
      <c r="A5" t="s">
        <v>22</v>
      </c>
      <c r="B5" t="s">
        <v>23</v>
      </c>
      <c r="C5" t="s">
        <v>24</v>
      </c>
      <c r="D5" t="s">
        <v>25</v>
      </c>
      <c r="E5">
        <v>20</v>
      </c>
      <c r="F5">
        <v>5</v>
      </c>
      <c r="G5">
        <v>14.5</v>
      </c>
      <c r="H5">
        <v>10</v>
      </c>
      <c r="I5">
        <v>9</v>
      </c>
      <c r="J5">
        <v>16</v>
      </c>
      <c r="K5">
        <v>35.25</v>
      </c>
      <c r="L5" s="1">
        <f t="shared" si="0"/>
        <v>54.230769230769226</v>
      </c>
      <c r="M5">
        <v>33.5</v>
      </c>
      <c r="N5">
        <f t="shared" si="1"/>
        <v>51.538461538461533</v>
      </c>
      <c r="O5">
        <v>36</v>
      </c>
      <c r="P5">
        <f t="shared" si="2"/>
        <v>45</v>
      </c>
      <c r="Q5">
        <f t="shared" si="3"/>
        <v>6.9499999999999993</v>
      </c>
      <c r="R5" s="2">
        <f t="shared" si="4"/>
        <v>51.392307692307696</v>
      </c>
    </row>
    <row r="6" spans="1:18" x14ac:dyDescent="0.25">
      <c r="A6" t="s">
        <v>26</v>
      </c>
      <c r="B6" t="s">
        <v>27</v>
      </c>
      <c r="C6" t="s">
        <v>28</v>
      </c>
      <c r="D6" t="s">
        <v>29</v>
      </c>
      <c r="E6">
        <v>17.5</v>
      </c>
      <c r="F6">
        <v>12</v>
      </c>
      <c r="G6">
        <v>0</v>
      </c>
      <c r="H6">
        <v>10</v>
      </c>
      <c r="I6">
        <v>0</v>
      </c>
      <c r="J6">
        <v>0</v>
      </c>
      <c r="K6">
        <v>48.25</v>
      </c>
      <c r="L6" s="1">
        <f t="shared" si="0"/>
        <v>74.230769230769226</v>
      </c>
      <c r="M6" s="3">
        <v>0</v>
      </c>
      <c r="N6" s="3">
        <f t="shared" si="1"/>
        <v>0</v>
      </c>
      <c r="O6" s="3">
        <v>0</v>
      </c>
      <c r="P6" s="3">
        <f t="shared" si="2"/>
        <v>0</v>
      </c>
      <c r="Q6">
        <f t="shared" si="3"/>
        <v>3.95</v>
      </c>
      <c r="R6" s="2">
        <f t="shared" si="4"/>
        <v>22.507692307692306</v>
      </c>
    </row>
    <row r="7" spans="1:18" x14ac:dyDescent="0.25">
      <c r="A7" t="s">
        <v>30</v>
      </c>
      <c r="B7" t="s">
        <v>31</v>
      </c>
      <c r="C7" t="s">
        <v>32</v>
      </c>
      <c r="D7" t="s">
        <v>33</v>
      </c>
      <c r="E7">
        <v>14</v>
      </c>
      <c r="F7">
        <v>15</v>
      </c>
      <c r="G7">
        <v>7</v>
      </c>
      <c r="H7">
        <v>8</v>
      </c>
      <c r="I7">
        <v>5</v>
      </c>
      <c r="J7">
        <v>17</v>
      </c>
      <c r="K7">
        <v>44.25</v>
      </c>
      <c r="L7" s="1">
        <f t="shared" si="0"/>
        <v>68.07692307692308</v>
      </c>
      <c r="M7">
        <v>44.5</v>
      </c>
      <c r="N7">
        <f t="shared" si="1"/>
        <v>68.461538461538467</v>
      </c>
      <c r="O7">
        <v>44</v>
      </c>
      <c r="P7">
        <f t="shared" si="2"/>
        <v>55.000000000000007</v>
      </c>
      <c r="Q7">
        <f t="shared" si="3"/>
        <v>6.1</v>
      </c>
      <c r="R7" s="2">
        <f t="shared" si="4"/>
        <v>62.234615384615388</v>
      </c>
    </row>
    <row r="8" spans="1:18" x14ac:dyDescent="0.25">
      <c r="A8" t="s">
        <v>34</v>
      </c>
      <c r="B8" t="s">
        <v>35</v>
      </c>
      <c r="C8" t="s">
        <v>36</v>
      </c>
      <c r="D8" t="s">
        <v>37</v>
      </c>
      <c r="E8">
        <v>12</v>
      </c>
      <c r="F8">
        <v>8</v>
      </c>
      <c r="G8">
        <v>0</v>
      </c>
      <c r="H8">
        <v>0</v>
      </c>
      <c r="I8">
        <v>0</v>
      </c>
      <c r="J8">
        <v>0</v>
      </c>
      <c r="K8" s="3">
        <v>0</v>
      </c>
      <c r="L8" s="4">
        <f t="shared" si="0"/>
        <v>0</v>
      </c>
      <c r="M8" s="3">
        <v>0</v>
      </c>
      <c r="N8" s="3">
        <f t="shared" si="1"/>
        <v>0</v>
      </c>
      <c r="O8" s="3">
        <v>0</v>
      </c>
      <c r="P8" s="3">
        <f t="shared" si="2"/>
        <v>0</v>
      </c>
      <c r="Q8">
        <f t="shared" si="3"/>
        <v>2</v>
      </c>
      <c r="R8" s="2">
        <f t="shared" si="4"/>
        <v>2</v>
      </c>
    </row>
    <row r="9" spans="1:18" x14ac:dyDescent="0.25">
      <c r="A9" t="s">
        <v>38</v>
      </c>
      <c r="B9" t="s">
        <v>39</v>
      </c>
      <c r="C9" t="s">
        <v>40</v>
      </c>
      <c r="D9" t="s">
        <v>41</v>
      </c>
      <c r="E9">
        <v>14</v>
      </c>
      <c r="F9">
        <v>12</v>
      </c>
      <c r="G9">
        <v>15</v>
      </c>
      <c r="H9">
        <v>15</v>
      </c>
      <c r="I9">
        <v>14</v>
      </c>
      <c r="J9">
        <v>12</v>
      </c>
      <c r="K9">
        <v>43.25</v>
      </c>
      <c r="L9" s="1">
        <f t="shared" si="0"/>
        <v>66.538461538461533</v>
      </c>
      <c r="M9">
        <v>41.5</v>
      </c>
      <c r="N9">
        <f t="shared" si="1"/>
        <v>63.84615384615384</v>
      </c>
      <c r="O9">
        <v>36</v>
      </c>
      <c r="P9">
        <f t="shared" si="2"/>
        <v>45</v>
      </c>
      <c r="Q9">
        <f t="shared" si="3"/>
        <v>7</v>
      </c>
      <c r="R9" s="2">
        <f t="shared" si="4"/>
        <v>57.59615384615384</v>
      </c>
    </row>
    <row r="10" spans="1:18" x14ac:dyDescent="0.25">
      <c r="A10" t="s">
        <v>42</v>
      </c>
      <c r="B10" t="s">
        <v>43</v>
      </c>
      <c r="C10" t="s">
        <v>44</v>
      </c>
      <c r="D10" t="s">
        <v>45</v>
      </c>
      <c r="E10">
        <v>17.5</v>
      </c>
      <c r="F10">
        <v>12</v>
      </c>
      <c r="G10">
        <v>7</v>
      </c>
      <c r="H10">
        <v>12</v>
      </c>
      <c r="I10">
        <v>17</v>
      </c>
      <c r="J10">
        <v>16</v>
      </c>
      <c r="K10">
        <v>63.25</v>
      </c>
      <c r="L10" s="1">
        <f t="shared" si="0"/>
        <v>97.307692307692307</v>
      </c>
      <c r="M10">
        <v>59.5</v>
      </c>
      <c r="N10">
        <f t="shared" si="1"/>
        <v>91.538461538461533</v>
      </c>
      <c r="O10">
        <v>66</v>
      </c>
      <c r="P10">
        <f t="shared" si="2"/>
        <v>82.5</v>
      </c>
      <c r="Q10">
        <f t="shared" si="3"/>
        <v>7.45</v>
      </c>
      <c r="R10" s="2">
        <f t="shared" si="4"/>
        <v>87.661538461538456</v>
      </c>
    </row>
    <row r="11" spans="1:18" x14ac:dyDescent="0.25">
      <c r="A11" t="s">
        <v>46</v>
      </c>
      <c r="B11" t="s">
        <v>47</v>
      </c>
      <c r="C11" t="s">
        <v>48</v>
      </c>
      <c r="D11" t="s">
        <v>49</v>
      </c>
      <c r="E11">
        <v>18</v>
      </c>
      <c r="F11">
        <v>15</v>
      </c>
      <c r="G11">
        <v>13</v>
      </c>
      <c r="H11">
        <v>15</v>
      </c>
      <c r="I11">
        <v>13</v>
      </c>
      <c r="J11">
        <v>15</v>
      </c>
      <c r="K11">
        <v>41.25</v>
      </c>
      <c r="L11" s="1">
        <f t="shared" si="0"/>
        <v>63.46153846153846</v>
      </c>
      <c r="M11">
        <v>42.5</v>
      </c>
      <c r="N11">
        <f t="shared" si="1"/>
        <v>65.384615384615387</v>
      </c>
      <c r="O11">
        <v>42</v>
      </c>
      <c r="P11">
        <f t="shared" si="2"/>
        <v>52.5</v>
      </c>
      <c r="Q11">
        <f t="shared" si="3"/>
        <v>7.6</v>
      </c>
      <c r="R11" s="2">
        <f t="shared" si="4"/>
        <v>60.811538461538461</v>
      </c>
    </row>
    <row r="12" spans="1:18" x14ac:dyDescent="0.25">
      <c r="A12" t="s">
        <v>50</v>
      </c>
      <c r="B12" t="s">
        <v>51</v>
      </c>
      <c r="C12" t="s">
        <v>52</v>
      </c>
      <c r="D12" t="s">
        <v>53</v>
      </c>
      <c r="E12">
        <v>0</v>
      </c>
      <c r="F12">
        <v>0</v>
      </c>
      <c r="G12">
        <v>0</v>
      </c>
      <c r="H12">
        <v>0</v>
      </c>
      <c r="I12">
        <v>3</v>
      </c>
      <c r="J12">
        <v>6</v>
      </c>
      <c r="K12">
        <v>29.25</v>
      </c>
      <c r="L12" s="1">
        <f t="shared" si="0"/>
        <v>45</v>
      </c>
      <c r="M12">
        <v>26.5</v>
      </c>
      <c r="N12">
        <f t="shared" si="1"/>
        <v>40.769230769230766</v>
      </c>
      <c r="O12">
        <v>31</v>
      </c>
      <c r="P12">
        <f t="shared" si="2"/>
        <v>38.75</v>
      </c>
      <c r="Q12">
        <f t="shared" si="3"/>
        <v>0.89999999999999991</v>
      </c>
      <c r="R12" s="2">
        <f t="shared" si="4"/>
        <v>37.842307692307692</v>
      </c>
    </row>
    <row r="13" spans="1:18" x14ac:dyDescent="0.25">
      <c r="A13" t="s">
        <v>54</v>
      </c>
      <c r="B13" t="s">
        <v>55</v>
      </c>
      <c r="C13" t="s">
        <v>56</v>
      </c>
      <c r="D13" t="s">
        <v>57</v>
      </c>
      <c r="E13">
        <v>20</v>
      </c>
      <c r="F13">
        <v>17</v>
      </c>
      <c r="G13">
        <v>9</v>
      </c>
      <c r="H13">
        <v>14</v>
      </c>
      <c r="I13">
        <v>0</v>
      </c>
      <c r="J13">
        <v>15</v>
      </c>
      <c r="K13">
        <v>41.25</v>
      </c>
      <c r="L13" s="1">
        <f t="shared" si="0"/>
        <v>63.46153846153846</v>
      </c>
      <c r="M13">
        <v>37.5</v>
      </c>
      <c r="N13">
        <f t="shared" si="1"/>
        <v>57.692307692307686</v>
      </c>
      <c r="O13">
        <v>43</v>
      </c>
      <c r="P13">
        <f t="shared" si="2"/>
        <v>53.75</v>
      </c>
      <c r="Q13">
        <f t="shared" si="3"/>
        <v>7.5</v>
      </c>
      <c r="R13" s="2">
        <f t="shared" si="4"/>
        <v>59.288461538461533</v>
      </c>
    </row>
    <row r="14" spans="1:18" x14ac:dyDescent="0.25">
      <c r="A14" t="s">
        <v>58</v>
      </c>
      <c r="B14" t="s">
        <v>59</v>
      </c>
      <c r="C14" t="s">
        <v>60</v>
      </c>
      <c r="D14" t="s">
        <v>61</v>
      </c>
      <c r="E14">
        <v>14</v>
      </c>
      <c r="F14">
        <v>12</v>
      </c>
      <c r="G14">
        <v>7</v>
      </c>
      <c r="H14">
        <v>10</v>
      </c>
      <c r="I14">
        <v>4</v>
      </c>
      <c r="J14">
        <v>12</v>
      </c>
      <c r="K14">
        <v>38.25</v>
      </c>
      <c r="L14" s="1">
        <f t="shared" si="0"/>
        <v>58.846153846153847</v>
      </c>
      <c r="M14">
        <v>36.5</v>
      </c>
      <c r="N14">
        <f t="shared" si="1"/>
        <v>56.153846153846153</v>
      </c>
      <c r="O14">
        <v>37</v>
      </c>
      <c r="P14">
        <f t="shared" si="2"/>
        <v>46.25</v>
      </c>
      <c r="Q14">
        <f t="shared" si="3"/>
        <v>5.5</v>
      </c>
      <c r="R14" s="2">
        <f t="shared" si="4"/>
        <v>52.75</v>
      </c>
    </row>
    <row r="15" spans="1:18" x14ac:dyDescent="0.25">
      <c r="A15" t="s">
        <v>62</v>
      </c>
      <c r="B15" t="s">
        <v>63</v>
      </c>
      <c r="C15" t="s">
        <v>64</v>
      </c>
      <c r="D15" t="s">
        <v>65</v>
      </c>
      <c r="E15">
        <v>18</v>
      </c>
      <c r="F15">
        <v>14</v>
      </c>
      <c r="G15">
        <v>13</v>
      </c>
      <c r="H15">
        <v>8</v>
      </c>
      <c r="I15">
        <v>12</v>
      </c>
      <c r="J15">
        <v>19</v>
      </c>
      <c r="K15">
        <v>40.25</v>
      </c>
      <c r="L15" s="1">
        <f t="shared" si="0"/>
        <v>61.923076923076927</v>
      </c>
      <c r="M15">
        <v>49.5</v>
      </c>
      <c r="N15">
        <f t="shared" si="1"/>
        <v>76.153846153846146</v>
      </c>
      <c r="O15">
        <v>50</v>
      </c>
      <c r="P15">
        <f t="shared" si="2"/>
        <v>62.5</v>
      </c>
      <c r="Q15">
        <f t="shared" si="3"/>
        <v>7.6</v>
      </c>
      <c r="R15" s="2">
        <f t="shared" si="4"/>
        <v>67.119230769230768</v>
      </c>
    </row>
    <row r="16" spans="1:18" x14ac:dyDescent="0.25">
      <c r="A16" t="s">
        <v>66</v>
      </c>
      <c r="B16" t="s">
        <v>67</v>
      </c>
      <c r="C16" t="s">
        <v>68</v>
      </c>
      <c r="D16" t="s">
        <v>69</v>
      </c>
      <c r="E16">
        <v>20</v>
      </c>
      <c r="F16">
        <v>19</v>
      </c>
      <c r="G16">
        <v>10</v>
      </c>
      <c r="H16">
        <v>9</v>
      </c>
      <c r="I16">
        <v>14</v>
      </c>
      <c r="J16">
        <v>14.5</v>
      </c>
      <c r="K16">
        <v>45.25</v>
      </c>
      <c r="L16" s="1">
        <f t="shared" si="0"/>
        <v>69.615384615384613</v>
      </c>
      <c r="M16">
        <v>43.5</v>
      </c>
      <c r="N16">
        <f t="shared" si="1"/>
        <v>66.92307692307692</v>
      </c>
      <c r="O16">
        <v>49</v>
      </c>
      <c r="P16">
        <f t="shared" si="2"/>
        <v>61.250000000000007</v>
      </c>
      <c r="Q16">
        <f t="shared" si="3"/>
        <v>7.75</v>
      </c>
      <c r="R16" s="2">
        <f t="shared" si="4"/>
        <v>66.384615384615387</v>
      </c>
    </row>
    <row r="17" spans="1:18" x14ac:dyDescent="0.25">
      <c r="A17" t="s">
        <v>70</v>
      </c>
      <c r="B17" t="s">
        <v>71</v>
      </c>
      <c r="C17" t="s">
        <v>72</v>
      </c>
      <c r="D17" t="s">
        <v>73</v>
      </c>
      <c r="E17">
        <v>20</v>
      </c>
      <c r="F17">
        <v>14</v>
      </c>
      <c r="G17">
        <v>8</v>
      </c>
      <c r="H17">
        <v>11</v>
      </c>
      <c r="I17">
        <v>11</v>
      </c>
      <c r="J17">
        <v>11</v>
      </c>
      <c r="K17">
        <v>43.25</v>
      </c>
      <c r="L17" s="1">
        <f t="shared" si="0"/>
        <v>66.538461538461533</v>
      </c>
      <c r="M17">
        <v>36.5</v>
      </c>
      <c r="N17">
        <f t="shared" si="1"/>
        <v>56.153846153846153</v>
      </c>
      <c r="O17">
        <v>39</v>
      </c>
      <c r="P17">
        <f t="shared" si="2"/>
        <v>48.75</v>
      </c>
      <c r="Q17">
        <f t="shared" si="3"/>
        <v>6.7</v>
      </c>
      <c r="R17" s="2">
        <f t="shared" si="4"/>
        <v>56.873076923076923</v>
      </c>
    </row>
    <row r="18" spans="1:18" x14ac:dyDescent="0.25">
      <c r="A18" t="s">
        <v>74</v>
      </c>
      <c r="B18" t="s">
        <v>75</v>
      </c>
      <c r="C18" t="s">
        <v>76</v>
      </c>
      <c r="D18" t="s">
        <v>77</v>
      </c>
      <c r="E18">
        <v>18</v>
      </c>
      <c r="F18">
        <v>17</v>
      </c>
      <c r="G18">
        <v>16</v>
      </c>
      <c r="H18">
        <v>10</v>
      </c>
      <c r="I18">
        <v>4</v>
      </c>
      <c r="J18">
        <v>11</v>
      </c>
      <c r="K18">
        <v>49.25</v>
      </c>
      <c r="L18" s="1">
        <f t="shared" si="0"/>
        <v>75.769230769230774</v>
      </c>
      <c r="M18">
        <v>41.5</v>
      </c>
      <c r="N18">
        <f t="shared" si="1"/>
        <v>63.84615384615384</v>
      </c>
      <c r="O18">
        <v>37</v>
      </c>
      <c r="P18">
        <f t="shared" si="2"/>
        <v>46.25</v>
      </c>
      <c r="Q18">
        <f t="shared" si="3"/>
        <v>7.1999999999999993</v>
      </c>
      <c r="R18" s="2">
        <f t="shared" si="4"/>
        <v>60.603846153846149</v>
      </c>
    </row>
    <row r="19" spans="1:18" x14ac:dyDescent="0.25">
      <c r="A19" t="s">
        <v>78</v>
      </c>
      <c r="B19" t="s">
        <v>79</v>
      </c>
      <c r="C19" t="s">
        <v>80</v>
      </c>
      <c r="D19" t="s">
        <v>81</v>
      </c>
      <c r="E19">
        <v>9.5</v>
      </c>
      <c r="F19">
        <v>13</v>
      </c>
      <c r="G19">
        <v>4</v>
      </c>
      <c r="H19">
        <v>4</v>
      </c>
      <c r="I19">
        <v>9</v>
      </c>
      <c r="J19">
        <v>8</v>
      </c>
      <c r="K19">
        <v>27.25</v>
      </c>
      <c r="L19" s="1">
        <f t="shared" si="0"/>
        <v>41.923076923076927</v>
      </c>
      <c r="M19">
        <v>31.5</v>
      </c>
      <c r="N19">
        <f t="shared" si="1"/>
        <v>48.46153846153846</v>
      </c>
      <c r="O19">
        <v>19</v>
      </c>
      <c r="P19">
        <f t="shared" si="2"/>
        <v>23.75</v>
      </c>
      <c r="Q19">
        <f t="shared" si="3"/>
        <v>4.3499999999999996</v>
      </c>
      <c r="R19" s="2">
        <f t="shared" si="4"/>
        <v>36.446153846153848</v>
      </c>
    </row>
    <row r="20" spans="1:18" x14ac:dyDescent="0.25">
      <c r="A20" t="s">
        <v>82</v>
      </c>
      <c r="B20" t="s">
        <v>83</v>
      </c>
      <c r="C20" t="s">
        <v>84</v>
      </c>
      <c r="D20" t="s">
        <v>85</v>
      </c>
      <c r="E20">
        <v>0</v>
      </c>
      <c r="F20">
        <v>16</v>
      </c>
      <c r="G20">
        <v>14</v>
      </c>
      <c r="H20">
        <v>16</v>
      </c>
      <c r="I20">
        <v>10</v>
      </c>
      <c r="J20">
        <v>19</v>
      </c>
      <c r="K20">
        <v>57.25</v>
      </c>
      <c r="L20" s="1">
        <f t="shared" si="0"/>
        <v>88.07692307692308</v>
      </c>
      <c r="M20">
        <v>59.5</v>
      </c>
      <c r="N20">
        <f t="shared" si="1"/>
        <v>91.538461538461533</v>
      </c>
      <c r="O20">
        <v>61</v>
      </c>
      <c r="P20">
        <f t="shared" si="2"/>
        <v>76.25</v>
      </c>
      <c r="Q20">
        <f t="shared" si="3"/>
        <v>7.5</v>
      </c>
      <c r="R20" s="2">
        <f t="shared" si="4"/>
        <v>82.90384615384616</v>
      </c>
    </row>
    <row r="21" spans="1:18" x14ac:dyDescent="0.25">
      <c r="A21" t="s">
        <v>86</v>
      </c>
      <c r="B21" t="s">
        <v>87</v>
      </c>
      <c r="C21" t="s">
        <v>88</v>
      </c>
      <c r="D21" t="s">
        <v>89</v>
      </c>
      <c r="E21">
        <v>17.5</v>
      </c>
      <c r="F21">
        <v>15</v>
      </c>
      <c r="G21">
        <v>12</v>
      </c>
      <c r="H21">
        <v>12</v>
      </c>
      <c r="I21">
        <v>19</v>
      </c>
      <c r="J21">
        <v>10</v>
      </c>
      <c r="K21">
        <v>50.25</v>
      </c>
      <c r="L21" s="1">
        <f t="shared" si="0"/>
        <v>77.307692307692307</v>
      </c>
      <c r="M21">
        <v>42.5</v>
      </c>
      <c r="N21">
        <f t="shared" si="1"/>
        <v>65.384615384615387</v>
      </c>
      <c r="O21">
        <v>51</v>
      </c>
      <c r="P21">
        <f t="shared" si="2"/>
        <v>63.749999999999993</v>
      </c>
      <c r="Q21">
        <f t="shared" si="3"/>
        <v>7.55</v>
      </c>
      <c r="R21" s="2">
        <f t="shared" si="4"/>
        <v>68.723076923076917</v>
      </c>
    </row>
    <row r="22" spans="1:18" x14ac:dyDescent="0.25">
      <c r="A22" t="s">
        <v>90</v>
      </c>
      <c r="B22" t="s">
        <v>91</v>
      </c>
      <c r="C22" t="s">
        <v>92</v>
      </c>
      <c r="D22" t="s">
        <v>93</v>
      </c>
      <c r="E22">
        <v>14</v>
      </c>
      <c r="F22">
        <v>6</v>
      </c>
      <c r="G22">
        <v>11</v>
      </c>
      <c r="H22">
        <v>13</v>
      </c>
      <c r="I22">
        <v>11</v>
      </c>
      <c r="J22">
        <v>12</v>
      </c>
      <c r="K22">
        <v>32.25</v>
      </c>
      <c r="L22" s="1">
        <f t="shared" si="0"/>
        <v>49.615384615384613</v>
      </c>
      <c r="M22">
        <v>33.5</v>
      </c>
      <c r="N22">
        <f t="shared" si="1"/>
        <v>51.538461538461533</v>
      </c>
      <c r="O22">
        <v>38</v>
      </c>
      <c r="P22">
        <f t="shared" si="2"/>
        <v>47.5</v>
      </c>
      <c r="Q22">
        <f t="shared" si="3"/>
        <v>6.1</v>
      </c>
      <c r="R22" s="2">
        <f t="shared" si="4"/>
        <v>50.388461538461534</v>
      </c>
    </row>
    <row r="23" spans="1:18" x14ac:dyDescent="0.25">
      <c r="A23" t="s">
        <v>94</v>
      </c>
      <c r="B23" t="s">
        <v>95</v>
      </c>
      <c r="C23" t="s">
        <v>96</v>
      </c>
      <c r="D23" t="s">
        <v>97</v>
      </c>
      <c r="E23">
        <v>16</v>
      </c>
      <c r="F23">
        <v>18</v>
      </c>
      <c r="G23">
        <v>20</v>
      </c>
      <c r="H23">
        <v>0</v>
      </c>
      <c r="I23">
        <v>17</v>
      </c>
      <c r="J23">
        <v>10</v>
      </c>
      <c r="K23">
        <v>43.25</v>
      </c>
      <c r="L23" s="1">
        <f t="shared" si="0"/>
        <v>66.538461538461533</v>
      </c>
      <c r="M23">
        <v>54.5</v>
      </c>
      <c r="N23">
        <f t="shared" si="1"/>
        <v>83.846153846153854</v>
      </c>
      <c r="O23">
        <v>49</v>
      </c>
      <c r="P23">
        <f t="shared" si="2"/>
        <v>61.250000000000007</v>
      </c>
      <c r="Q23">
        <f t="shared" si="3"/>
        <v>8.1000000000000014</v>
      </c>
      <c r="R23" s="2">
        <f t="shared" si="4"/>
        <v>70.196153846153862</v>
      </c>
    </row>
    <row r="24" spans="1:18" x14ac:dyDescent="0.25">
      <c r="A24" t="s">
        <v>98</v>
      </c>
      <c r="B24" t="s">
        <v>99</v>
      </c>
      <c r="C24" t="s">
        <v>100</v>
      </c>
      <c r="D24" t="s">
        <v>101</v>
      </c>
      <c r="E24">
        <v>18</v>
      </c>
      <c r="F24">
        <v>17</v>
      </c>
      <c r="G24">
        <v>11</v>
      </c>
      <c r="H24">
        <v>13</v>
      </c>
      <c r="I24">
        <v>16</v>
      </c>
      <c r="J24">
        <v>19</v>
      </c>
      <c r="K24">
        <v>50.25</v>
      </c>
      <c r="L24" s="1">
        <f t="shared" si="0"/>
        <v>77.307692307692307</v>
      </c>
      <c r="M24">
        <v>54.5</v>
      </c>
      <c r="N24">
        <f t="shared" si="1"/>
        <v>83.846153846153854</v>
      </c>
      <c r="O24">
        <v>49</v>
      </c>
      <c r="P24">
        <f t="shared" si="2"/>
        <v>61.250000000000007</v>
      </c>
      <c r="Q24">
        <f t="shared" si="3"/>
        <v>8.2999999999999989</v>
      </c>
      <c r="R24" s="2">
        <f t="shared" si="4"/>
        <v>73.088461538461544</v>
      </c>
    </row>
    <row r="25" spans="1:18" x14ac:dyDescent="0.25">
      <c r="A25" t="s">
        <v>102</v>
      </c>
      <c r="B25" t="s">
        <v>103</v>
      </c>
      <c r="C25" t="s">
        <v>104</v>
      </c>
      <c r="D25" t="s">
        <v>105</v>
      </c>
      <c r="E25">
        <v>4</v>
      </c>
      <c r="F25">
        <v>10</v>
      </c>
      <c r="G25">
        <v>2</v>
      </c>
      <c r="H25">
        <v>0</v>
      </c>
      <c r="I25">
        <v>0</v>
      </c>
      <c r="J25">
        <v>0</v>
      </c>
      <c r="K25">
        <v>31.25</v>
      </c>
      <c r="L25" s="1">
        <f t="shared" si="0"/>
        <v>48.07692307692308</v>
      </c>
      <c r="M25">
        <v>31.5</v>
      </c>
      <c r="N25">
        <f t="shared" si="1"/>
        <v>48.46153846153846</v>
      </c>
      <c r="O25">
        <v>35</v>
      </c>
      <c r="P25">
        <f t="shared" si="2"/>
        <v>43.75</v>
      </c>
      <c r="Q25">
        <f t="shared" si="3"/>
        <v>1.6</v>
      </c>
      <c r="R25" s="2">
        <f t="shared" si="4"/>
        <v>43.234615384615388</v>
      </c>
    </row>
    <row r="26" spans="1:18" x14ac:dyDescent="0.25">
      <c r="A26" t="s">
        <v>106</v>
      </c>
      <c r="B26" t="s">
        <v>107</v>
      </c>
      <c r="C26" t="s">
        <v>108</v>
      </c>
      <c r="D26" t="s">
        <v>109</v>
      </c>
      <c r="E26">
        <v>18</v>
      </c>
      <c r="F26">
        <v>19</v>
      </c>
      <c r="G26">
        <v>12</v>
      </c>
      <c r="H26">
        <v>12</v>
      </c>
      <c r="I26">
        <v>18</v>
      </c>
      <c r="J26">
        <v>15</v>
      </c>
      <c r="K26">
        <v>58.25</v>
      </c>
      <c r="L26" s="1">
        <f t="shared" si="0"/>
        <v>89.615384615384613</v>
      </c>
      <c r="M26">
        <v>61.5</v>
      </c>
      <c r="N26">
        <f t="shared" si="1"/>
        <v>94.615384615384613</v>
      </c>
      <c r="O26">
        <v>56</v>
      </c>
      <c r="P26">
        <f t="shared" si="2"/>
        <v>70</v>
      </c>
      <c r="Q26">
        <f t="shared" si="3"/>
        <v>8.1999999999999993</v>
      </c>
      <c r="R26" s="2">
        <f t="shared" si="4"/>
        <v>82.257692307692309</v>
      </c>
    </row>
    <row r="27" spans="1:18" x14ac:dyDescent="0.25">
      <c r="A27" t="s">
        <v>110</v>
      </c>
      <c r="B27" t="s">
        <v>111</v>
      </c>
      <c r="C27" t="s">
        <v>112</v>
      </c>
      <c r="D27" t="s">
        <v>113</v>
      </c>
      <c r="E27">
        <v>9.5</v>
      </c>
      <c r="F27">
        <v>4</v>
      </c>
      <c r="G27">
        <v>8</v>
      </c>
      <c r="H27">
        <v>3</v>
      </c>
      <c r="I27">
        <v>0</v>
      </c>
      <c r="J27">
        <v>9</v>
      </c>
      <c r="K27">
        <v>26.25</v>
      </c>
      <c r="L27" s="1">
        <f t="shared" si="0"/>
        <v>40.384615384615387</v>
      </c>
      <c r="M27">
        <v>30.5</v>
      </c>
      <c r="N27">
        <f t="shared" si="1"/>
        <v>46.92307692307692</v>
      </c>
      <c r="O27">
        <v>30</v>
      </c>
      <c r="P27">
        <f t="shared" si="2"/>
        <v>37.5</v>
      </c>
      <c r="Q27">
        <f t="shared" si="3"/>
        <v>3.35</v>
      </c>
      <c r="R27" s="2">
        <f t="shared" si="4"/>
        <v>40.176923076923082</v>
      </c>
    </row>
    <row r="28" spans="1:18" x14ac:dyDescent="0.25">
      <c r="A28" t="s">
        <v>114</v>
      </c>
      <c r="B28" t="s">
        <v>115</v>
      </c>
      <c r="C28" t="s">
        <v>116</v>
      </c>
      <c r="D28" t="s">
        <v>117</v>
      </c>
      <c r="E28">
        <v>20</v>
      </c>
      <c r="F28">
        <v>17</v>
      </c>
      <c r="G28">
        <v>16</v>
      </c>
      <c r="H28">
        <v>17</v>
      </c>
      <c r="I28">
        <v>18</v>
      </c>
      <c r="J28">
        <v>0</v>
      </c>
      <c r="K28">
        <v>46.25</v>
      </c>
      <c r="L28" s="1">
        <f t="shared" si="0"/>
        <v>71.15384615384616</v>
      </c>
      <c r="M28">
        <v>48.5</v>
      </c>
      <c r="N28">
        <f t="shared" si="1"/>
        <v>74.615384615384613</v>
      </c>
      <c r="O28">
        <v>43</v>
      </c>
      <c r="P28">
        <f t="shared" si="2"/>
        <v>53.75</v>
      </c>
      <c r="Q28">
        <f t="shared" si="3"/>
        <v>8.8000000000000007</v>
      </c>
      <c r="R28" s="2">
        <f t="shared" si="4"/>
        <v>66.742307692307691</v>
      </c>
    </row>
    <row r="29" spans="1:18" x14ac:dyDescent="0.25">
      <c r="A29" t="s">
        <v>118</v>
      </c>
      <c r="B29" t="s">
        <v>119</v>
      </c>
      <c r="C29" t="s">
        <v>120</v>
      </c>
      <c r="D29" t="s">
        <v>121</v>
      </c>
      <c r="E29">
        <v>16</v>
      </c>
      <c r="F29">
        <v>13</v>
      </c>
      <c r="G29">
        <v>0</v>
      </c>
      <c r="H29">
        <v>11</v>
      </c>
      <c r="I29">
        <v>5</v>
      </c>
      <c r="J29">
        <v>13</v>
      </c>
      <c r="K29">
        <v>46.25</v>
      </c>
      <c r="L29" s="1">
        <f t="shared" si="0"/>
        <v>71.15384615384616</v>
      </c>
      <c r="M29">
        <v>46.5</v>
      </c>
      <c r="N29">
        <f t="shared" si="1"/>
        <v>71.538461538461533</v>
      </c>
      <c r="O29">
        <v>47</v>
      </c>
      <c r="P29">
        <f t="shared" si="2"/>
        <v>58.75</v>
      </c>
      <c r="Q29">
        <f t="shared" si="3"/>
        <v>5.8</v>
      </c>
      <c r="R29" s="2">
        <f t="shared" si="4"/>
        <v>64.973076923076917</v>
      </c>
    </row>
    <row r="30" spans="1:18" x14ac:dyDescent="0.25">
      <c r="A30" t="s">
        <v>122</v>
      </c>
      <c r="B30" t="s">
        <v>123</v>
      </c>
      <c r="C30" t="s">
        <v>124</v>
      </c>
      <c r="D30" t="s">
        <v>125</v>
      </c>
      <c r="E30">
        <v>11</v>
      </c>
      <c r="F30">
        <v>3</v>
      </c>
      <c r="G30">
        <v>2</v>
      </c>
      <c r="H30">
        <v>6</v>
      </c>
      <c r="I30">
        <v>1</v>
      </c>
      <c r="J30">
        <v>2</v>
      </c>
      <c r="K30">
        <v>18.25</v>
      </c>
      <c r="L30" s="1">
        <f t="shared" si="0"/>
        <v>28.076923076923077</v>
      </c>
      <c r="M30">
        <v>28.5</v>
      </c>
      <c r="N30">
        <f t="shared" si="1"/>
        <v>43.846153846153847</v>
      </c>
      <c r="O30">
        <v>19</v>
      </c>
      <c r="P30">
        <f t="shared" si="2"/>
        <v>23.75</v>
      </c>
      <c r="Q30">
        <f t="shared" si="3"/>
        <v>2.4</v>
      </c>
      <c r="R30" s="2">
        <f t="shared" si="4"/>
        <v>29.880769230769229</v>
      </c>
    </row>
    <row r="31" spans="1:18" x14ac:dyDescent="0.25">
      <c r="A31" t="s">
        <v>86</v>
      </c>
      <c r="B31" t="s">
        <v>126</v>
      </c>
      <c r="C31" t="s">
        <v>127</v>
      </c>
      <c r="D31" t="s">
        <v>128</v>
      </c>
      <c r="E31">
        <v>18</v>
      </c>
      <c r="F31">
        <v>20</v>
      </c>
      <c r="G31">
        <v>20</v>
      </c>
      <c r="H31">
        <v>15</v>
      </c>
      <c r="I31">
        <v>13</v>
      </c>
      <c r="J31">
        <v>19</v>
      </c>
      <c r="K31">
        <v>59.25</v>
      </c>
      <c r="L31" s="1">
        <f t="shared" si="0"/>
        <v>91.153846153846146</v>
      </c>
      <c r="M31">
        <v>60.5</v>
      </c>
      <c r="N31">
        <f t="shared" si="1"/>
        <v>93.07692307692308</v>
      </c>
      <c r="O31">
        <v>63</v>
      </c>
      <c r="P31">
        <f t="shared" si="2"/>
        <v>78.75</v>
      </c>
      <c r="Q31">
        <f t="shared" si="3"/>
        <v>9.2000000000000011</v>
      </c>
      <c r="R31" s="2">
        <f t="shared" si="4"/>
        <v>86.757692307692309</v>
      </c>
    </row>
    <row r="32" spans="1:18" x14ac:dyDescent="0.25">
      <c r="A32" t="s">
        <v>129</v>
      </c>
      <c r="B32" t="s">
        <v>130</v>
      </c>
      <c r="C32" t="s">
        <v>131</v>
      </c>
      <c r="D32" t="s">
        <v>132</v>
      </c>
      <c r="E32">
        <v>11.5</v>
      </c>
      <c r="F32">
        <v>12</v>
      </c>
      <c r="G32">
        <v>6</v>
      </c>
      <c r="H32">
        <v>9</v>
      </c>
      <c r="I32">
        <v>0</v>
      </c>
      <c r="J32">
        <v>0</v>
      </c>
      <c r="K32">
        <v>27.25</v>
      </c>
      <c r="L32" s="1">
        <f t="shared" si="0"/>
        <v>41.923076923076927</v>
      </c>
      <c r="M32">
        <v>31.5</v>
      </c>
      <c r="N32">
        <f t="shared" si="1"/>
        <v>48.46153846153846</v>
      </c>
      <c r="O32">
        <v>30</v>
      </c>
      <c r="P32">
        <f t="shared" si="2"/>
        <v>37.5</v>
      </c>
      <c r="Q32">
        <f t="shared" si="3"/>
        <v>3.85</v>
      </c>
      <c r="R32" s="2">
        <f t="shared" si="4"/>
        <v>41.446153846153848</v>
      </c>
    </row>
    <row r="33" spans="1:18" x14ac:dyDescent="0.25">
      <c r="A33" t="s">
        <v>133</v>
      </c>
      <c r="B33" t="s">
        <v>134</v>
      </c>
      <c r="C33" t="s">
        <v>135</v>
      </c>
      <c r="D33" t="s">
        <v>136</v>
      </c>
      <c r="E33">
        <v>15</v>
      </c>
      <c r="F33">
        <v>9</v>
      </c>
      <c r="G33">
        <v>8</v>
      </c>
      <c r="H33">
        <v>0</v>
      </c>
      <c r="I33">
        <v>6</v>
      </c>
      <c r="J33">
        <v>15</v>
      </c>
      <c r="K33">
        <v>37.25</v>
      </c>
      <c r="L33" s="1">
        <f t="shared" si="0"/>
        <v>57.307692307692307</v>
      </c>
      <c r="M33">
        <v>43.5</v>
      </c>
      <c r="N33">
        <f t="shared" si="1"/>
        <v>66.92307692307692</v>
      </c>
      <c r="O33">
        <v>38</v>
      </c>
      <c r="P33">
        <f t="shared" si="2"/>
        <v>47.5</v>
      </c>
      <c r="Q33">
        <f t="shared" si="3"/>
        <v>5.3000000000000007</v>
      </c>
      <c r="R33" s="2">
        <f t="shared" si="4"/>
        <v>55.357692307692304</v>
      </c>
    </row>
    <row r="34" spans="1:18" x14ac:dyDescent="0.25">
      <c r="A34" t="s">
        <v>137</v>
      </c>
      <c r="B34" t="s">
        <v>138</v>
      </c>
      <c r="C34" t="s">
        <v>139</v>
      </c>
      <c r="D34" t="s">
        <v>140</v>
      </c>
      <c r="E34">
        <v>14</v>
      </c>
      <c r="F34">
        <v>14</v>
      </c>
      <c r="G34">
        <v>12</v>
      </c>
      <c r="H34">
        <v>20</v>
      </c>
      <c r="I34">
        <v>5</v>
      </c>
      <c r="J34">
        <v>19</v>
      </c>
      <c r="K34">
        <v>44.25</v>
      </c>
      <c r="L34" s="1">
        <f t="shared" si="0"/>
        <v>68.07692307692308</v>
      </c>
      <c r="M34">
        <v>37.5</v>
      </c>
      <c r="N34">
        <f t="shared" si="1"/>
        <v>57.692307692307686</v>
      </c>
      <c r="O34">
        <v>39</v>
      </c>
      <c r="P34">
        <f t="shared" si="2"/>
        <v>48.75</v>
      </c>
      <c r="Q34">
        <f t="shared" si="3"/>
        <v>7.9</v>
      </c>
      <c r="R34" s="2">
        <f t="shared" si="4"/>
        <v>58.842307692307692</v>
      </c>
    </row>
    <row r="35" spans="1:18" x14ac:dyDescent="0.25">
      <c r="A35" t="s">
        <v>141</v>
      </c>
      <c r="B35" t="s">
        <v>142</v>
      </c>
      <c r="C35" t="s">
        <v>143</v>
      </c>
      <c r="D35" t="s">
        <v>144</v>
      </c>
      <c r="E35">
        <v>12</v>
      </c>
      <c r="F35">
        <v>0</v>
      </c>
      <c r="G35">
        <v>1</v>
      </c>
      <c r="H35">
        <v>0</v>
      </c>
      <c r="I35">
        <v>1</v>
      </c>
      <c r="J35">
        <v>0</v>
      </c>
      <c r="K35">
        <v>36.25</v>
      </c>
      <c r="L35" s="1">
        <f t="shared" si="0"/>
        <v>55.769230769230774</v>
      </c>
      <c r="M35">
        <v>43.5</v>
      </c>
      <c r="N35">
        <f t="shared" si="1"/>
        <v>66.92307692307692</v>
      </c>
      <c r="O35">
        <v>41</v>
      </c>
      <c r="P35">
        <f t="shared" si="2"/>
        <v>51.249999999999993</v>
      </c>
      <c r="Q35">
        <f t="shared" si="3"/>
        <v>1.4000000000000001</v>
      </c>
      <c r="R35" s="2">
        <f t="shared" si="4"/>
        <v>52.573076923076918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18818-0C94-C44C-A46B-3FF6B89CA7EB}">
  <dimension ref="A1:E38"/>
  <sheetViews>
    <sheetView tabSelected="1" topLeftCell="A21" zoomScale="170" zoomScaleNormal="170" workbookViewId="0">
      <selection activeCell="H10" sqref="H10"/>
    </sheetView>
  </sheetViews>
  <sheetFormatPr baseColWidth="10" defaultRowHeight="18" x14ac:dyDescent="0.25"/>
  <cols>
    <col min="1" max="1" width="17.5703125" customWidth="1"/>
    <col min="2" max="2" width="15.425781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152</v>
      </c>
      <c r="E1" t="s">
        <v>153</v>
      </c>
    </row>
    <row r="2" spans="1:5" x14ac:dyDescent="0.25">
      <c r="A2" t="s">
        <v>10</v>
      </c>
      <c r="B2" t="s">
        <v>11</v>
      </c>
      <c r="C2" t="s">
        <v>12</v>
      </c>
      <c r="D2" s="2">
        <v>47.123076923076923</v>
      </c>
      <c r="E2" s="2">
        <f t="shared" ref="E2:E35" si="0">D2+3</f>
        <v>50.123076923076923</v>
      </c>
    </row>
    <row r="3" spans="1:5" x14ac:dyDescent="0.25">
      <c r="A3" t="s">
        <v>14</v>
      </c>
      <c r="B3" t="s">
        <v>15</v>
      </c>
      <c r="C3" t="s">
        <v>16</v>
      </c>
      <c r="D3" s="2">
        <v>53.615384615384613</v>
      </c>
      <c r="E3" s="2">
        <f t="shared" si="0"/>
        <v>56.615384615384613</v>
      </c>
    </row>
    <row r="4" spans="1:5" x14ac:dyDescent="0.25">
      <c r="A4" t="s">
        <v>18</v>
      </c>
      <c r="B4" t="s">
        <v>19</v>
      </c>
      <c r="C4" t="s">
        <v>20</v>
      </c>
      <c r="D4" s="2">
        <v>15.653846153846153</v>
      </c>
      <c r="E4" s="2">
        <f t="shared" si="0"/>
        <v>18.653846153846153</v>
      </c>
    </row>
    <row r="5" spans="1:5" x14ac:dyDescent="0.25">
      <c r="A5" t="s">
        <v>22</v>
      </c>
      <c r="B5" t="s">
        <v>23</v>
      </c>
      <c r="C5" t="s">
        <v>24</v>
      </c>
      <c r="D5" s="2">
        <v>51.392307692307696</v>
      </c>
      <c r="E5" s="2">
        <f t="shared" si="0"/>
        <v>54.392307692307696</v>
      </c>
    </row>
    <row r="6" spans="1:5" x14ac:dyDescent="0.25">
      <c r="A6" t="s">
        <v>26</v>
      </c>
      <c r="B6" t="s">
        <v>27</v>
      </c>
      <c r="C6" t="s">
        <v>28</v>
      </c>
      <c r="D6" s="2">
        <v>22.507692307692306</v>
      </c>
      <c r="E6" s="2">
        <f t="shared" si="0"/>
        <v>25.507692307692306</v>
      </c>
    </row>
    <row r="7" spans="1:5" x14ac:dyDescent="0.25">
      <c r="A7" t="s">
        <v>30</v>
      </c>
      <c r="B7" t="s">
        <v>31</v>
      </c>
      <c r="C7" t="s">
        <v>32</v>
      </c>
      <c r="D7" s="2">
        <v>62.234615384615388</v>
      </c>
      <c r="E7" s="2">
        <f t="shared" si="0"/>
        <v>65.234615384615381</v>
      </c>
    </row>
    <row r="8" spans="1:5" x14ac:dyDescent="0.25">
      <c r="A8" t="s">
        <v>34</v>
      </c>
      <c r="B8" t="s">
        <v>35</v>
      </c>
      <c r="C8" t="s">
        <v>36</v>
      </c>
      <c r="D8" s="2">
        <v>2</v>
      </c>
      <c r="E8" s="2">
        <f t="shared" si="0"/>
        <v>5</v>
      </c>
    </row>
    <row r="9" spans="1:5" x14ac:dyDescent="0.25">
      <c r="A9" t="s">
        <v>38</v>
      </c>
      <c r="B9" t="s">
        <v>39</v>
      </c>
      <c r="C9" t="s">
        <v>40</v>
      </c>
      <c r="D9" s="2">
        <v>57.59615384615384</v>
      </c>
      <c r="E9" s="2">
        <f t="shared" si="0"/>
        <v>60.59615384615384</v>
      </c>
    </row>
    <row r="10" spans="1:5" x14ac:dyDescent="0.25">
      <c r="A10" t="s">
        <v>42</v>
      </c>
      <c r="B10" t="s">
        <v>43</v>
      </c>
      <c r="C10" t="s">
        <v>44</v>
      </c>
      <c r="D10" s="2">
        <v>87.661538461538456</v>
      </c>
      <c r="E10" s="2">
        <f t="shared" si="0"/>
        <v>90.661538461538456</v>
      </c>
    </row>
    <row r="11" spans="1:5" x14ac:dyDescent="0.25">
      <c r="A11" t="s">
        <v>46</v>
      </c>
      <c r="B11" t="s">
        <v>47</v>
      </c>
      <c r="C11" t="s">
        <v>48</v>
      </c>
      <c r="D11" s="2">
        <v>60.811538461538461</v>
      </c>
      <c r="E11" s="2">
        <f t="shared" si="0"/>
        <v>63.811538461538461</v>
      </c>
    </row>
    <row r="12" spans="1:5" x14ac:dyDescent="0.25">
      <c r="A12" t="s">
        <v>50</v>
      </c>
      <c r="B12" t="s">
        <v>51</v>
      </c>
      <c r="C12" t="s">
        <v>52</v>
      </c>
      <c r="D12" s="2">
        <v>37.842307692307692</v>
      </c>
      <c r="E12" s="2">
        <f t="shared" si="0"/>
        <v>40.842307692307692</v>
      </c>
    </row>
    <row r="13" spans="1:5" x14ac:dyDescent="0.25">
      <c r="A13" t="s">
        <v>54</v>
      </c>
      <c r="B13" t="s">
        <v>55</v>
      </c>
      <c r="C13" t="s">
        <v>56</v>
      </c>
      <c r="D13" s="2">
        <v>59.288461538461533</v>
      </c>
      <c r="E13" s="2">
        <f t="shared" si="0"/>
        <v>62.288461538461533</v>
      </c>
    </row>
    <row r="14" spans="1:5" x14ac:dyDescent="0.25">
      <c r="A14" t="s">
        <v>58</v>
      </c>
      <c r="B14" t="s">
        <v>59</v>
      </c>
      <c r="C14" t="s">
        <v>60</v>
      </c>
      <c r="D14" s="2">
        <v>52.75</v>
      </c>
      <c r="E14" s="2">
        <f t="shared" si="0"/>
        <v>55.75</v>
      </c>
    </row>
    <row r="15" spans="1:5" x14ac:dyDescent="0.25">
      <c r="A15" t="s">
        <v>62</v>
      </c>
      <c r="B15" t="s">
        <v>63</v>
      </c>
      <c r="C15" t="s">
        <v>64</v>
      </c>
      <c r="D15" s="2">
        <v>67.119230769230768</v>
      </c>
      <c r="E15" s="2">
        <f t="shared" si="0"/>
        <v>70.119230769230768</v>
      </c>
    </row>
    <row r="16" spans="1:5" x14ac:dyDescent="0.25">
      <c r="A16" t="s">
        <v>66</v>
      </c>
      <c r="B16" t="s">
        <v>67</v>
      </c>
      <c r="C16" t="s">
        <v>68</v>
      </c>
      <c r="D16" s="2">
        <v>66.384615384615387</v>
      </c>
      <c r="E16" s="2">
        <f t="shared" si="0"/>
        <v>69.384615384615387</v>
      </c>
    </row>
    <row r="17" spans="1:5" x14ac:dyDescent="0.25">
      <c r="A17" t="s">
        <v>70</v>
      </c>
      <c r="B17" t="s">
        <v>71</v>
      </c>
      <c r="C17" t="s">
        <v>72</v>
      </c>
      <c r="D17" s="2">
        <v>56.873076923076923</v>
      </c>
      <c r="E17" s="2">
        <f t="shared" si="0"/>
        <v>59.873076923076923</v>
      </c>
    </row>
    <row r="18" spans="1:5" x14ac:dyDescent="0.25">
      <c r="A18" t="s">
        <v>74</v>
      </c>
      <c r="B18" t="s">
        <v>75</v>
      </c>
      <c r="C18" t="s">
        <v>76</v>
      </c>
      <c r="D18" s="2">
        <v>60.603846153846149</v>
      </c>
      <c r="E18" s="2">
        <f t="shared" si="0"/>
        <v>63.603846153846149</v>
      </c>
    </row>
    <row r="19" spans="1:5" x14ac:dyDescent="0.25">
      <c r="A19" t="s">
        <v>78</v>
      </c>
      <c r="B19" t="s">
        <v>79</v>
      </c>
      <c r="C19" t="s">
        <v>80</v>
      </c>
      <c r="D19" s="2">
        <v>36.446153846153848</v>
      </c>
      <c r="E19" s="2">
        <f t="shared" si="0"/>
        <v>39.446153846153848</v>
      </c>
    </row>
    <row r="20" spans="1:5" x14ac:dyDescent="0.25">
      <c r="A20" t="s">
        <v>82</v>
      </c>
      <c r="B20" t="s">
        <v>83</v>
      </c>
      <c r="C20" t="s">
        <v>84</v>
      </c>
      <c r="D20" s="2">
        <v>82.90384615384616</v>
      </c>
      <c r="E20" s="2">
        <f t="shared" si="0"/>
        <v>85.90384615384616</v>
      </c>
    </row>
    <row r="21" spans="1:5" x14ac:dyDescent="0.25">
      <c r="A21" t="s">
        <v>86</v>
      </c>
      <c r="B21" t="s">
        <v>87</v>
      </c>
      <c r="C21" t="s">
        <v>88</v>
      </c>
      <c r="D21" s="2">
        <v>68.723076923076917</v>
      </c>
      <c r="E21" s="2">
        <f t="shared" si="0"/>
        <v>71.723076923076917</v>
      </c>
    </row>
    <row r="22" spans="1:5" x14ac:dyDescent="0.25">
      <c r="A22" t="s">
        <v>90</v>
      </c>
      <c r="B22" t="s">
        <v>91</v>
      </c>
      <c r="C22" t="s">
        <v>92</v>
      </c>
      <c r="D22" s="2">
        <v>50.388461538461534</v>
      </c>
      <c r="E22" s="2">
        <f t="shared" si="0"/>
        <v>53.388461538461534</v>
      </c>
    </row>
    <row r="23" spans="1:5" x14ac:dyDescent="0.25">
      <c r="A23" t="s">
        <v>94</v>
      </c>
      <c r="B23" t="s">
        <v>95</v>
      </c>
      <c r="C23" t="s">
        <v>96</v>
      </c>
      <c r="D23" s="2">
        <v>70.196153846153862</v>
      </c>
      <c r="E23" s="2">
        <f t="shared" si="0"/>
        <v>73.196153846153862</v>
      </c>
    </row>
    <row r="24" spans="1:5" x14ac:dyDescent="0.25">
      <c r="A24" t="s">
        <v>98</v>
      </c>
      <c r="B24" t="s">
        <v>99</v>
      </c>
      <c r="C24" t="s">
        <v>100</v>
      </c>
      <c r="D24" s="2">
        <v>73.088461538461544</v>
      </c>
      <c r="E24" s="2">
        <f t="shared" si="0"/>
        <v>76.088461538461544</v>
      </c>
    </row>
    <row r="25" spans="1:5" x14ac:dyDescent="0.25">
      <c r="A25" t="s">
        <v>102</v>
      </c>
      <c r="B25" t="s">
        <v>103</v>
      </c>
      <c r="C25" t="s">
        <v>104</v>
      </c>
      <c r="D25" s="2">
        <v>43.234615384615388</v>
      </c>
      <c r="E25" s="2">
        <f t="shared" si="0"/>
        <v>46.234615384615388</v>
      </c>
    </row>
    <row r="26" spans="1:5" x14ac:dyDescent="0.25">
      <c r="A26" t="s">
        <v>106</v>
      </c>
      <c r="B26" t="s">
        <v>107</v>
      </c>
      <c r="C26" t="s">
        <v>108</v>
      </c>
      <c r="D26" s="2">
        <v>82.257692307692309</v>
      </c>
      <c r="E26" s="2">
        <f t="shared" si="0"/>
        <v>85.257692307692309</v>
      </c>
    </row>
    <row r="27" spans="1:5" x14ac:dyDescent="0.25">
      <c r="A27" t="s">
        <v>110</v>
      </c>
      <c r="B27" t="s">
        <v>111</v>
      </c>
      <c r="C27" t="s">
        <v>112</v>
      </c>
      <c r="D27" s="2">
        <v>40.176923076923082</v>
      </c>
      <c r="E27" s="2">
        <f t="shared" si="0"/>
        <v>43.176923076923082</v>
      </c>
    </row>
    <row r="28" spans="1:5" x14ac:dyDescent="0.25">
      <c r="A28" t="s">
        <v>114</v>
      </c>
      <c r="B28" t="s">
        <v>115</v>
      </c>
      <c r="C28" t="s">
        <v>116</v>
      </c>
      <c r="D28" s="2">
        <v>66.742307692307691</v>
      </c>
      <c r="E28" s="2">
        <f t="shared" si="0"/>
        <v>69.742307692307691</v>
      </c>
    </row>
    <row r="29" spans="1:5" x14ac:dyDescent="0.25">
      <c r="A29" t="s">
        <v>118</v>
      </c>
      <c r="B29" t="s">
        <v>119</v>
      </c>
      <c r="C29" t="s">
        <v>120</v>
      </c>
      <c r="D29" s="2">
        <v>64.973076923076917</v>
      </c>
      <c r="E29" s="2">
        <f t="shared" si="0"/>
        <v>67.973076923076917</v>
      </c>
    </row>
    <row r="30" spans="1:5" x14ac:dyDescent="0.25">
      <c r="A30" t="s">
        <v>122</v>
      </c>
      <c r="B30" t="s">
        <v>123</v>
      </c>
      <c r="C30" t="s">
        <v>124</v>
      </c>
      <c r="D30" s="2">
        <v>29.880769230769229</v>
      </c>
      <c r="E30" s="2">
        <f t="shared" si="0"/>
        <v>32.880769230769232</v>
      </c>
    </row>
    <row r="31" spans="1:5" x14ac:dyDescent="0.25">
      <c r="A31" t="s">
        <v>86</v>
      </c>
      <c r="B31" t="s">
        <v>126</v>
      </c>
      <c r="C31" t="s">
        <v>127</v>
      </c>
      <c r="D31" s="2">
        <v>86.757692307692309</v>
      </c>
      <c r="E31" s="2">
        <f t="shared" si="0"/>
        <v>89.757692307692309</v>
      </c>
    </row>
    <row r="32" spans="1:5" x14ac:dyDescent="0.25">
      <c r="A32" t="s">
        <v>129</v>
      </c>
      <c r="B32" t="s">
        <v>130</v>
      </c>
      <c r="C32" t="s">
        <v>131</v>
      </c>
      <c r="D32" s="2">
        <v>41.446153846153848</v>
      </c>
      <c r="E32" s="2">
        <f t="shared" si="0"/>
        <v>44.446153846153848</v>
      </c>
    </row>
    <row r="33" spans="1:5" x14ac:dyDescent="0.25">
      <c r="A33" t="s">
        <v>133</v>
      </c>
      <c r="B33" t="s">
        <v>134</v>
      </c>
      <c r="C33" t="s">
        <v>135</v>
      </c>
      <c r="D33" s="2">
        <v>55.357692307692304</v>
      </c>
      <c r="E33" s="2">
        <f t="shared" si="0"/>
        <v>58.357692307692304</v>
      </c>
    </row>
    <row r="34" spans="1:5" x14ac:dyDescent="0.25">
      <c r="A34" t="s">
        <v>137</v>
      </c>
      <c r="B34" t="s">
        <v>138</v>
      </c>
      <c r="C34" t="s">
        <v>139</v>
      </c>
      <c r="D34" s="2">
        <v>58.842307692307692</v>
      </c>
      <c r="E34" s="2">
        <f t="shared" si="0"/>
        <v>61.842307692307692</v>
      </c>
    </row>
    <row r="35" spans="1:5" x14ac:dyDescent="0.25">
      <c r="A35" t="s">
        <v>141</v>
      </c>
      <c r="B35" t="s">
        <v>142</v>
      </c>
      <c r="C35" t="s">
        <v>143</v>
      </c>
      <c r="D35" s="2">
        <v>52.573076923076918</v>
      </c>
      <c r="E35" s="2">
        <f t="shared" si="0"/>
        <v>55.573076923076918</v>
      </c>
    </row>
    <row r="38" spans="1:5" x14ac:dyDescent="0.25">
      <c r="D38" s="2">
        <f>AVERAGE(D2:D35)</f>
        <v>54.86606334841629</v>
      </c>
      <c r="E38" s="2">
        <f>AVERAGE(E2:E35)</f>
        <v>57.866063348416276</v>
      </c>
    </row>
  </sheetData>
  <sortState xmlns:xlrd2="http://schemas.microsoft.com/office/spreadsheetml/2017/richdata2" ref="A2:E35">
    <sortCondition ref="B2:B35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Grades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Muhebullah Karimzada</dc:creator>
  <cp:lastModifiedBy>Muhebullah Karimzada</cp:lastModifiedBy>
  <dcterms:created xsi:type="dcterms:W3CDTF">2025-12-10T12:47:08Z</dcterms:created>
  <dcterms:modified xsi:type="dcterms:W3CDTF">2025-12-11T01:07:27Z</dcterms:modified>
</cp:coreProperties>
</file>