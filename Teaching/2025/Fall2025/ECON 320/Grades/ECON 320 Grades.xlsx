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imzada/Downloads/"/>
    </mc:Choice>
  </mc:AlternateContent>
  <xr:revisionPtr revIDLastSave="0" documentId="8_{4AE06900-EB1B-DD4E-9134-6783F27F1E91}" xr6:coauthVersionLast="47" xr6:coauthVersionMax="47" xr10:uidLastSave="{00000000-0000-0000-0000-000000000000}"/>
  <bookViews>
    <workbookView xWindow="4420" yWindow="680" windowWidth="25820" windowHeight="18960" xr2:uid="{BD1BE42D-F4A5-5A47-A5ED-67904DA762F3}"/>
  </bookViews>
  <sheets>
    <sheet name="Grades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O5" i="1" s="1"/>
  <c r="M5" i="1"/>
  <c r="O4" i="1"/>
  <c r="N4" i="1"/>
  <c r="M4" i="1"/>
  <c r="M3" i="1"/>
  <c r="N3" i="1" s="1"/>
  <c r="O3" i="1" s="1"/>
  <c r="M2" i="1"/>
  <c r="N2" i="1" s="1"/>
  <c r="O2" i="1" s="1"/>
</calcChain>
</file>

<file path=xl/sharedStrings.xml><?xml version="1.0" encoding="utf-8"?>
<sst xmlns="http://schemas.openxmlformats.org/spreadsheetml/2006/main" count="31" uniqueCount="31">
  <si>
    <t>First name</t>
  </si>
  <si>
    <t>Last name</t>
  </si>
  <si>
    <t>ID number</t>
  </si>
  <si>
    <t>Email address</t>
  </si>
  <si>
    <t>Quiz 1 (20)</t>
  </si>
  <si>
    <t>Quiz 2 (20)</t>
  </si>
  <si>
    <t>Quiz 3 (20)</t>
  </si>
  <si>
    <t>Quiz 4 (20)</t>
  </si>
  <si>
    <t>Quiz 5 (20)</t>
  </si>
  <si>
    <t>Midterm Exam 1 (50)</t>
  </si>
  <si>
    <t>Midterm Exam 2 (50)</t>
  </si>
  <si>
    <t>Final Exam (100)</t>
  </si>
  <si>
    <t xml:space="preserve">Quizzes Total </t>
  </si>
  <si>
    <t>Final Grade</t>
  </si>
  <si>
    <t>Adjusted FG</t>
  </si>
  <si>
    <t>Noopur Tusharbhai</t>
  </si>
  <si>
    <t>Ariwala</t>
  </si>
  <si>
    <t>230154166</t>
  </si>
  <si>
    <t>ariwala@unbc.ca</t>
  </si>
  <si>
    <t>Elizabeth</t>
  </si>
  <si>
    <t>Bowen</t>
  </si>
  <si>
    <t>230139827</t>
  </si>
  <si>
    <t>ebowen@unbc.ca</t>
  </si>
  <si>
    <t>Ayomide</t>
  </si>
  <si>
    <t>Oladini</t>
  </si>
  <si>
    <t>230168183</t>
  </si>
  <si>
    <t>oladini@unbc.ca</t>
  </si>
  <si>
    <t>Nyagoa</t>
  </si>
  <si>
    <t>Peter</t>
  </si>
  <si>
    <t>230148805</t>
  </si>
  <si>
    <t>npeter@unbc.ca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</si>
</sst>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 Unicode MS"/>
      <family val="2"/>
    </font>
    <font>
      <b/>
      <i/>
      <sz val="16"/>
      <color rgb="FF000000"/>
      <name val="Arial Unicode MS"/>
      <family val="2"/>
    </font>
    <font>
      <b/>
      <i/>
      <u/>
      <sz val="12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0" fontId="2" fillId="0" borderId="0" applyNumberFormat="0" applyBorder="0" applyProtection="0"/>
  </cellStyleXfs>
  <cellXfs count="2">
    <xf numFmtId="0" fontId="0" fillId="0" borderId="0" xfId="0"/>
    <xf numFmtId="1" fontId="0" fillId="0" borderId="0" xfId="0" applyNumberFormat="1"/>
  </cellXfs>
  <cellStyles count="5">
    <cellStyle name="Heading" xfId="1" xr:uid="{C274599D-BC7D-D444-B166-50A0C2A1D0EE}"/>
    <cellStyle name="Heading1" xfId="2" xr:uid="{61BFB543-7BF3-6F45-ABE6-A495517D8834}"/>
    <cellStyle name="Normal" xfId="0" builtinId="0" customBuiltin="1"/>
    <cellStyle name="Result" xfId="3" xr:uid="{9BAEC2E5-561C-7B4F-A1D0-40C763B6534A}"/>
    <cellStyle name="Result2" xfId="4" xr:uid="{83CFB2E1-05C9-784B-9DA5-975A0D326C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50A4-8675-B64F-90F9-E6B6D50E435E}">
  <dimension ref="A1:O7"/>
  <sheetViews>
    <sheetView tabSelected="1" workbookViewId="0"/>
  </sheetViews>
  <sheetFormatPr baseColWidth="10" defaultRowHeight="18" x14ac:dyDescent="0.25"/>
  <cols>
    <col min="1" max="9" width="10.7109375" customWidth="1"/>
    <col min="10" max="10" width="17.5703125" customWidth="1"/>
    <col min="11" max="11" width="17" customWidth="1"/>
    <col min="12" max="12" width="14.7109375" customWidth="1"/>
    <col min="13" max="13" width="12.42578125" customWidth="1"/>
    <col min="14" max="14" width="10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14</v>
      </c>
      <c r="F2">
        <v>1</v>
      </c>
      <c r="G2">
        <v>11</v>
      </c>
      <c r="H2">
        <v>9</v>
      </c>
      <c r="I2">
        <v>10</v>
      </c>
      <c r="J2">
        <v>16</v>
      </c>
      <c r="K2">
        <v>34</v>
      </c>
      <c r="L2">
        <v>42</v>
      </c>
      <c r="M2">
        <f>E2/20*2.5+G2/20*2.5+H2/20*2.5+I2/20*2.5</f>
        <v>5.5</v>
      </c>
      <c r="N2">
        <f>J2/50*25+K2/50*25+L2/100*40+M2</f>
        <v>47.3</v>
      </c>
      <c r="O2" s="1">
        <f>N2+10</f>
        <v>57.3</v>
      </c>
    </row>
    <row r="3" spans="1:15" x14ac:dyDescent="0.25">
      <c r="A3" t="s">
        <v>19</v>
      </c>
      <c r="B3" t="s">
        <v>20</v>
      </c>
      <c r="C3" t="s">
        <v>21</v>
      </c>
      <c r="D3" t="s">
        <v>22</v>
      </c>
      <c r="E3">
        <v>18</v>
      </c>
      <c r="F3">
        <v>6</v>
      </c>
      <c r="G3">
        <v>13</v>
      </c>
      <c r="H3">
        <v>12</v>
      </c>
      <c r="I3">
        <v>12</v>
      </c>
      <c r="J3">
        <v>32.5</v>
      </c>
      <c r="K3">
        <v>46</v>
      </c>
      <c r="L3">
        <v>73</v>
      </c>
      <c r="M3">
        <f>E3/20*2.5+G3/20*2.5+H3/20*2.5+I3/20*2.5</f>
        <v>6.875</v>
      </c>
      <c r="N3">
        <f>J3/50*25+K3/50*25+L3/100*40+M3</f>
        <v>75.325000000000003</v>
      </c>
      <c r="O3" s="1">
        <f>N3+10</f>
        <v>85.325000000000003</v>
      </c>
    </row>
    <row r="4" spans="1:15" x14ac:dyDescent="0.25">
      <c r="A4" t="s">
        <v>23</v>
      </c>
      <c r="B4" t="s">
        <v>24</v>
      </c>
      <c r="C4" t="s">
        <v>25</v>
      </c>
      <c r="D4" t="s">
        <v>26</v>
      </c>
      <c r="E4">
        <v>9</v>
      </c>
      <c r="F4">
        <v>14</v>
      </c>
      <c r="G4">
        <v>14</v>
      </c>
      <c r="H4">
        <v>8</v>
      </c>
      <c r="I4">
        <v>11</v>
      </c>
      <c r="J4">
        <v>5</v>
      </c>
      <c r="K4">
        <v>32</v>
      </c>
      <c r="L4">
        <v>60</v>
      </c>
      <c r="M4">
        <f>E4/20*2.5+G4/20*2.5+F4/20*2.5+I4/20*2.5</f>
        <v>6</v>
      </c>
      <c r="N4">
        <f>J4/50*25+K4/50*25+L4/100*40+M4</f>
        <v>48.5</v>
      </c>
      <c r="O4" s="1">
        <f>N4+10</f>
        <v>58.5</v>
      </c>
    </row>
    <row r="5" spans="1:15" x14ac:dyDescent="0.25">
      <c r="A5" t="s">
        <v>27</v>
      </c>
      <c r="B5" t="s">
        <v>28</v>
      </c>
      <c r="C5" t="s">
        <v>29</v>
      </c>
      <c r="D5" t="s">
        <v>30</v>
      </c>
      <c r="E5">
        <v>15</v>
      </c>
      <c r="F5">
        <v>13</v>
      </c>
      <c r="G5">
        <v>17</v>
      </c>
      <c r="H5">
        <v>0</v>
      </c>
      <c r="I5">
        <v>10</v>
      </c>
      <c r="J5">
        <v>25</v>
      </c>
      <c r="K5">
        <v>38</v>
      </c>
      <c r="L5">
        <v>65</v>
      </c>
      <c r="M5">
        <f>E5/20*2.5+G5/20*2.5+F5/20*2.5+I5/20*2.5</f>
        <v>6.875</v>
      </c>
      <c r="N5">
        <f>J5/50*25+K5/50*25+L5/100*40+M5</f>
        <v>64.375</v>
      </c>
      <c r="O5" s="1">
        <f>N5+10</f>
        <v>74.375</v>
      </c>
    </row>
    <row r="7" spans="1:15" x14ac:dyDescent="0.25">
      <c r="O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Muhebullah Karimzada</dc:creator>
  <cp:lastModifiedBy>Muhebullah Karimzada</cp:lastModifiedBy>
  <dcterms:created xsi:type="dcterms:W3CDTF">2025-12-12T16:08:34Z</dcterms:created>
  <dcterms:modified xsi:type="dcterms:W3CDTF">2025-12-13T00:28:24Z</dcterms:modified>
</cp:coreProperties>
</file>