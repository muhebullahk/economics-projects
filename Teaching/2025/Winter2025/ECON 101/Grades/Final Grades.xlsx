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K1/Google Drive/Teaching 2025/UNBC/ECON 101/Grades/"/>
    </mc:Choice>
  </mc:AlternateContent>
  <xr:revisionPtr revIDLastSave="0" documentId="13_ncr:1_{8136CA96-F10B-854B-8776-3EDD3D7C6946}" xr6:coauthVersionLast="47" xr6:coauthVersionMax="47" xr10:uidLastSave="{00000000-0000-0000-0000-000000000000}"/>
  <bookViews>
    <workbookView xWindow="380" yWindow="500" windowWidth="28040" windowHeight="16940" xr2:uid="{6D0A3E7E-F1FF-134E-8E97-D755A476491C}"/>
  </bookViews>
  <sheets>
    <sheet name="Detailed_Quiz_Results (4)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0" i="1" l="1"/>
  <c r="T60" i="1"/>
  <c r="T58" i="1"/>
  <c r="T50" i="1"/>
  <c r="T44" i="1"/>
  <c r="T45" i="1"/>
  <c r="T38" i="1"/>
  <c r="T34" i="1"/>
  <c r="T35" i="1"/>
  <c r="T24" i="1"/>
  <c r="T8" i="1"/>
  <c r="T11" i="1"/>
  <c r="T13" i="1"/>
  <c r="T18" i="1"/>
  <c r="T19" i="1"/>
  <c r="T21" i="1"/>
  <c r="T27" i="1"/>
  <c r="T28" i="1"/>
  <c r="T33" i="1"/>
  <c r="T39" i="1"/>
  <c r="T41" i="1"/>
  <c r="T46" i="1"/>
  <c r="T48" i="1"/>
  <c r="T53" i="1"/>
  <c r="T55" i="1"/>
  <c r="T57" i="1"/>
  <c r="T59" i="1"/>
  <c r="T63" i="1"/>
  <c r="T2" i="1"/>
  <c r="S63" i="1"/>
  <c r="S62" i="1"/>
  <c r="T62" i="1" s="1"/>
  <c r="S61" i="1"/>
  <c r="T61" i="1" s="1"/>
  <c r="S59" i="1"/>
  <c r="S58" i="1"/>
  <c r="S57" i="1"/>
  <c r="S55" i="1"/>
  <c r="S54" i="1"/>
  <c r="T54" i="1" s="1"/>
  <c r="S53" i="1"/>
  <c r="S52" i="1"/>
  <c r="T52" i="1" s="1"/>
  <c r="S49" i="1"/>
  <c r="T49" i="1" s="1"/>
  <c r="S48" i="1"/>
  <c r="S46" i="1"/>
  <c r="S45" i="1"/>
  <c r="S43" i="1"/>
  <c r="T43" i="1" s="1"/>
  <c r="S42" i="1"/>
  <c r="T42" i="1" s="1"/>
  <c r="S41" i="1"/>
  <c r="S38" i="1"/>
  <c r="S37" i="1"/>
  <c r="T37" i="1" s="1"/>
  <c r="S36" i="1"/>
  <c r="T36" i="1" s="1"/>
  <c r="S35" i="1"/>
  <c r="S33" i="1"/>
  <c r="S31" i="1"/>
  <c r="T31" i="1" s="1"/>
  <c r="S28" i="1"/>
  <c r="S27" i="1"/>
  <c r="S26" i="1"/>
  <c r="T26" i="1" s="1"/>
  <c r="S25" i="1"/>
  <c r="T25" i="1" s="1"/>
  <c r="S24" i="1"/>
  <c r="S22" i="1"/>
  <c r="T22" i="1" s="1"/>
  <c r="S21" i="1"/>
  <c r="S20" i="1"/>
  <c r="T20" i="1" s="1"/>
  <c r="S19" i="1"/>
  <c r="S18" i="1"/>
  <c r="S17" i="1"/>
  <c r="T17" i="1" s="1"/>
  <c r="S16" i="1"/>
  <c r="T16" i="1" s="1"/>
  <c r="S14" i="1"/>
  <c r="T14" i="1" s="1"/>
  <c r="S15" i="1"/>
  <c r="T15" i="1" s="1"/>
  <c r="S13" i="1"/>
  <c r="S12" i="1"/>
  <c r="T12" i="1" s="1"/>
  <c r="S8" i="1"/>
  <c r="S7" i="1"/>
  <c r="T7" i="1" s="1"/>
  <c r="S6" i="1"/>
  <c r="T6" i="1" s="1"/>
  <c r="S5" i="1"/>
  <c r="T5" i="1" s="1"/>
  <c r="S4" i="1"/>
  <c r="T4" i="1" s="1"/>
  <c r="S3" i="1"/>
  <c r="T3" i="1" s="1"/>
  <c r="S2" i="1"/>
  <c r="S9" i="1"/>
  <c r="T9" i="1" s="1"/>
  <c r="S10" i="1"/>
  <c r="T10" i="1" s="1"/>
  <c r="S23" i="1"/>
  <c r="T23" i="1" s="1"/>
  <c r="S29" i="1"/>
  <c r="T29" i="1" s="1"/>
  <c r="S30" i="1"/>
  <c r="S32" i="1"/>
  <c r="T32" i="1" s="1"/>
  <c r="S39" i="1"/>
  <c r="S40" i="1"/>
  <c r="T40" i="1" s="1"/>
  <c r="S47" i="1"/>
  <c r="T47" i="1" s="1"/>
  <c r="S51" i="1"/>
  <c r="T51" i="1" s="1"/>
  <c r="S56" i="1"/>
  <c r="T56" i="1" s="1"/>
  <c r="S64" i="1"/>
  <c r="T64" i="1" s="1"/>
  <c r="T67" i="1" l="1"/>
</calcChain>
</file>

<file path=xl/sharedStrings.xml><?xml version="1.0" encoding="utf-8"?>
<sst xmlns="http://schemas.openxmlformats.org/spreadsheetml/2006/main" count="271" uniqueCount="227">
  <si>
    <t>Quiz 1</t>
  </si>
  <si>
    <t>Quiz 2</t>
  </si>
  <si>
    <t>Quiz 3</t>
  </si>
  <si>
    <t>Quiz 4</t>
  </si>
  <si>
    <t>Quiz 5</t>
  </si>
  <si>
    <t>Quiz 7</t>
  </si>
  <si>
    <t>Quiz 8</t>
  </si>
  <si>
    <t>Quiz 9</t>
  </si>
  <si>
    <t>Quiz 10</t>
  </si>
  <si>
    <t>Last name</t>
  </si>
  <si>
    <t>First name</t>
  </si>
  <si>
    <t>Email</t>
  </si>
  <si>
    <t>Log-in</t>
  </si>
  <si>
    <t>Ali</t>
  </si>
  <si>
    <t>Ali Ashmal</t>
  </si>
  <si>
    <t>aliashmal09@gmail.com</t>
  </si>
  <si>
    <t>aliashmalali</t>
  </si>
  <si>
    <t>Andrew Mohan</t>
  </si>
  <si>
    <t>Caleb Panneerdas</t>
  </si>
  <si>
    <t>andrew@unbc.ca</t>
  </si>
  <si>
    <t>caleb_7</t>
  </si>
  <si>
    <t>Appiah</t>
  </si>
  <si>
    <t>Queenly</t>
  </si>
  <si>
    <t>qappiah@unbc.ca</t>
  </si>
  <si>
    <t>Atwal</t>
  </si>
  <si>
    <t>Gursewak</t>
  </si>
  <si>
    <t>gatwal@unbc.ca</t>
  </si>
  <si>
    <t>bhander</t>
  </si>
  <si>
    <t>navraj</t>
  </si>
  <si>
    <t>nbhander@unbc.ca</t>
  </si>
  <si>
    <t>navrajb</t>
  </si>
  <si>
    <t>Bias</t>
  </si>
  <si>
    <t>Isaiah</t>
  </si>
  <si>
    <t>bias@unbc.ca</t>
  </si>
  <si>
    <t>billing</t>
  </si>
  <si>
    <t>gursevak</t>
  </si>
  <si>
    <t>gbilling@unbc.ca</t>
  </si>
  <si>
    <t>Broderick</t>
  </si>
  <si>
    <t>Makena</t>
  </si>
  <si>
    <t>broderick@unbc.ca</t>
  </si>
  <si>
    <t>Brumovsky</t>
  </si>
  <si>
    <t>Sylvia</t>
  </si>
  <si>
    <t>sbrumovsk@unbc.ca</t>
  </si>
  <si>
    <t>blossom3d</t>
  </si>
  <si>
    <t>Byju</t>
  </si>
  <si>
    <t>Joel</t>
  </si>
  <si>
    <t>jbyju1217@gmail.com</t>
  </si>
  <si>
    <t>crow</t>
  </si>
  <si>
    <t>caiden</t>
  </si>
  <si>
    <t>caiden.crow@icloud.com</t>
  </si>
  <si>
    <t>caidencrow</t>
  </si>
  <si>
    <t>Dang</t>
  </si>
  <si>
    <t>Devesh</t>
  </si>
  <si>
    <t>ddang@unbc.ca</t>
  </si>
  <si>
    <t>dd1425</t>
  </si>
  <si>
    <t>davies</t>
  </si>
  <si>
    <t>luke</t>
  </si>
  <si>
    <t>mdavies2@unbc.ca</t>
  </si>
  <si>
    <t>millerdavies</t>
  </si>
  <si>
    <t>Dent</t>
  </si>
  <si>
    <t>Aimee</t>
  </si>
  <si>
    <t>aimeejane.dent@gmail.com</t>
  </si>
  <si>
    <t>Ditto</t>
  </si>
  <si>
    <t>Garnet</t>
  </si>
  <si>
    <t>ditto@unbc.ca</t>
  </si>
  <si>
    <t>garnetditto</t>
  </si>
  <si>
    <t>Dool</t>
  </si>
  <si>
    <t>Drake</t>
  </si>
  <si>
    <t>ddool@unbc.ca</t>
  </si>
  <si>
    <t>Dutton</t>
  </si>
  <si>
    <t>Cassidy</t>
  </si>
  <si>
    <t>dutton@unbc.ca</t>
  </si>
  <si>
    <t>Gendron</t>
  </si>
  <si>
    <t>Jacob</t>
  </si>
  <si>
    <t>jacobgendronn@gmail.com</t>
  </si>
  <si>
    <t>green</t>
  </si>
  <si>
    <t>kaleb</t>
  </si>
  <si>
    <t>kalebgreen2710@gmail.com</t>
  </si>
  <si>
    <t>Greydanus</t>
  </si>
  <si>
    <t>Nathaniel</t>
  </si>
  <si>
    <t>greydanus@unbc.ca</t>
  </si>
  <si>
    <t>Greydonuts</t>
  </si>
  <si>
    <t>Gunter</t>
  </si>
  <si>
    <t>Isabella</t>
  </si>
  <si>
    <t>igunter@unbc.ca</t>
  </si>
  <si>
    <t>Halka</t>
  </si>
  <si>
    <t>Tryfon</t>
  </si>
  <si>
    <t>thalka@unbc.ca</t>
  </si>
  <si>
    <t>Harmon</t>
  </si>
  <si>
    <t>Lillian</t>
  </si>
  <si>
    <t>harmon@unbc.ca</t>
  </si>
  <si>
    <t>Henning</t>
  </si>
  <si>
    <t>Racheal</t>
  </si>
  <si>
    <t>henning@unbc.ca</t>
  </si>
  <si>
    <t>Hossain</t>
  </si>
  <si>
    <t>Shayaan</t>
  </si>
  <si>
    <t>shossain2@unbc.ca</t>
  </si>
  <si>
    <t>st3ck3d</t>
  </si>
  <si>
    <t>Jacklin</t>
  </si>
  <si>
    <t>Bryanna</t>
  </si>
  <si>
    <t>jacklin@unbc.ca</t>
  </si>
  <si>
    <t>jaffer</t>
  </si>
  <si>
    <t>shanzay</t>
  </si>
  <si>
    <t>jaffer@unbc.ca</t>
  </si>
  <si>
    <t>shanzayj</t>
  </si>
  <si>
    <t>Jickling</t>
  </si>
  <si>
    <t>Matthew</t>
  </si>
  <si>
    <t>jickling@unbc.ca</t>
  </si>
  <si>
    <t>Johnson</t>
  </si>
  <si>
    <t>Sophie</t>
  </si>
  <si>
    <t>sophiie.johnson@icloud.com</t>
  </si>
  <si>
    <t>sophiie.johnson</t>
  </si>
  <si>
    <t>Joy</t>
  </si>
  <si>
    <t>Alwin</t>
  </si>
  <si>
    <t>joya@unbc.ca</t>
  </si>
  <si>
    <t>Kamaniya</t>
  </si>
  <si>
    <t>Arjav</t>
  </si>
  <si>
    <t>arjavkamaniya98@gmail.com</t>
  </si>
  <si>
    <t>Kaur</t>
  </si>
  <si>
    <t>Mehakpreet</t>
  </si>
  <si>
    <t>mehakpreetswaich@gmail.com</t>
  </si>
  <si>
    <t>mehakpree@unbc.ca</t>
  </si>
  <si>
    <t>lende (Inactive)</t>
  </si>
  <si>
    <t>tanishq (Inactive)</t>
  </si>
  <si>
    <t>tanishq.lende@gmail.com</t>
  </si>
  <si>
    <t>tanishq098</t>
  </si>
  <si>
    <t>Lu</t>
  </si>
  <si>
    <t>Helal</t>
  </si>
  <si>
    <t>lutfi@unbc.ca</t>
  </si>
  <si>
    <t>Mathew</t>
  </si>
  <si>
    <t>Mackief</t>
  </si>
  <si>
    <t>mackief@unbc.ca</t>
  </si>
  <si>
    <t>Mayank</t>
  </si>
  <si>
    <t>mayank@unbc.ca</t>
  </si>
  <si>
    <t>mayank2557</t>
  </si>
  <si>
    <t>Mertin</t>
  </si>
  <si>
    <t>Cory</t>
  </si>
  <si>
    <t>mertin@unbc.ca</t>
  </si>
  <si>
    <t>Mills</t>
  </si>
  <si>
    <t>Hayley</t>
  </si>
  <si>
    <t>5858hayley@gmail.com</t>
  </si>
  <si>
    <t>Montederamos</t>
  </si>
  <si>
    <t>Rryzel</t>
  </si>
  <si>
    <t>rmonteder@unbc.ca</t>
  </si>
  <si>
    <t>Mufti</t>
  </si>
  <si>
    <t>Luai</t>
  </si>
  <si>
    <t>luaimufti123@gmail.com</t>
  </si>
  <si>
    <t>Nielsen</t>
  </si>
  <si>
    <t>Lucas</t>
  </si>
  <si>
    <t>nielsen2@unbc.ca</t>
  </si>
  <si>
    <t>Nystedt</t>
  </si>
  <si>
    <t>Koss</t>
  </si>
  <si>
    <t>Knystedt@unbc.ca</t>
  </si>
  <si>
    <t>knystedt1</t>
  </si>
  <si>
    <t>Panicker</t>
  </si>
  <si>
    <t>Ashwin</t>
  </si>
  <si>
    <t>sreekant@unbc.ca</t>
  </si>
  <si>
    <t>Prosofsky</t>
  </si>
  <si>
    <t>Brandon</t>
  </si>
  <si>
    <t>bprosofsky@hotmail.com</t>
  </si>
  <si>
    <t>prosofsky</t>
  </si>
  <si>
    <t>Qurban</t>
  </si>
  <si>
    <t>Naveeda</t>
  </si>
  <si>
    <t>qurban@unbc.ca</t>
  </si>
  <si>
    <t>Reichlin</t>
  </si>
  <si>
    <t>Samantha</t>
  </si>
  <si>
    <t>reichlin@unbc.ca</t>
  </si>
  <si>
    <t>Rweyongeza</t>
  </si>
  <si>
    <t>Keenan</t>
  </si>
  <si>
    <t>kakiiki256@gmail.com</t>
  </si>
  <si>
    <t>Saini</t>
  </si>
  <si>
    <t>Samik</t>
  </si>
  <si>
    <t>ssaini@unbc.ca</t>
  </si>
  <si>
    <t>Shah</t>
  </si>
  <si>
    <t>Nakhshahtra</t>
  </si>
  <si>
    <t>nakhshahtras@gmail.com</t>
  </si>
  <si>
    <t>Shively</t>
  </si>
  <si>
    <t>Aly</t>
  </si>
  <si>
    <t>ashively@unbc.ca</t>
  </si>
  <si>
    <t>Shupak</t>
  </si>
  <si>
    <t>Yana</t>
  </si>
  <si>
    <t>shupak@unbc.ca</t>
  </si>
  <si>
    <t>Siller</t>
  </si>
  <si>
    <t>Emma</t>
  </si>
  <si>
    <t>siller@unbc.ca</t>
  </si>
  <si>
    <t>emmasiller</t>
  </si>
  <si>
    <t>Singh</t>
  </si>
  <si>
    <t>Jaskaran</t>
  </si>
  <si>
    <t>jsingh12@unbc.ca</t>
  </si>
  <si>
    <t>singh</t>
  </si>
  <si>
    <t>navekamjot</t>
  </si>
  <si>
    <t>nsingh4@unbc.ca</t>
  </si>
  <si>
    <t>thomas</t>
  </si>
  <si>
    <t>lynden</t>
  </si>
  <si>
    <t>lthomas2@unbc.ca</t>
  </si>
  <si>
    <t>Varghese</t>
  </si>
  <si>
    <t>Ken layel</t>
  </si>
  <si>
    <t>kvarghese@unbc.ca</t>
  </si>
  <si>
    <t>kenlayelvarghese</t>
  </si>
  <si>
    <t>verma (Inactive)</t>
  </si>
  <si>
    <t>vivek (Inactive)</t>
  </si>
  <si>
    <t>vivekvverma199@gmail.com</t>
  </si>
  <si>
    <t>Vettoor</t>
  </si>
  <si>
    <t>Binil Baby</t>
  </si>
  <si>
    <t>vettoor@unbc.ca</t>
  </si>
  <si>
    <t>binilbaby</t>
  </si>
  <si>
    <t>Vohra (Inactive)</t>
  </si>
  <si>
    <t>Aryan (Inactive)</t>
  </si>
  <si>
    <t>avohra@unbc.ca</t>
  </si>
  <si>
    <t>Webster</t>
  </si>
  <si>
    <t>Richard</t>
  </si>
  <si>
    <t>rwebby903@gmail.com</t>
  </si>
  <si>
    <t>Worthington-White</t>
  </si>
  <si>
    <t>Ben</t>
  </si>
  <si>
    <t>bworthing@unbc.ca</t>
  </si>
  <si>
    <t>yadav</t>
  </si>
  <si>
    <t>karam</t>
  </si>
  <si>
    <t>karamyadavunbccanada@gmail.com</t>
  </si>
  <si>
    <t>Zhang</t>
  </si>
  <si>
    <t>Evan</t>
  </si>
  <si>
    <t>ezhang@unbc.ca</t>
  </si>
  <si>
    <t xml:space="preserve">Quiz 6 </t>
  </si>
  <si>
    <t>Midterm Exam 1</t>
  </si>
  <si>
    <t>Midterm Exam 2</t>
  </si>
  <si>
    <t>Final Exam</t>
  </si>
  <si>
    <t>Quizzez</t>
  </si>
  <si>
    <t>Final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</si>
</sst>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0" fillId="33" borderId="0" xfId="0" applyFill="1"/>
    <xf numFmtId="1" fontId="0" fillId="0" borderId="0" xfId="0" applyNumberFormat="1"/>
    <xf numFmtId="0" fontId="14" fillId="34" borderId="0" xfId="0" applyFont="1" applyFill="1"/>
    <xf numFmtId="0" fontId="0" fillId="34" borderId="0" xfId="0" applyFill="1"/>
    <xf numFmtId="1" fontId="0" fillId="34" borderId="0" xfId="0" applyNumberFormat="1" applyFill="1"/>
    <xf numFmtId="0" fontId="0" fillId="35" borderId="0" xfId="0" applyFill="1"/>
    <xf numFmtId="1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15992-51A6-B548-BA05-4DB17947EC59}">
  <dimension ref="A1:T67"/>
  <sheetViews>
    <sheetView tabSelected="1" topLeftCell="F3" zoomScale="120" zoomScaleNormal="120" workbookViewId="0">
      <selection activeCell="A30" sqref="A30:XFD30"/>
    </sheetView>
  </sheetViews>
  <sheetFormatPr baseColWidth="10" defaultRowHeight="16" x14ac:dyDescent="0.2"/>
  <cols>
    <col min="1" max="1" width="13.33203125" customWidth="1"/>
    <col min="3" max="3" width="13.5" customWidth="1"/>
    <col min="16" max="16" width="16.1640625" customWidth="1"/>
    <col min="17" max="17" width="14.33203125" customWidth="1"/>
  </cols>
  <sheetData>
    <row r="1" spans="1:20" s="1" customFormat="1" x14ac:dyDescent="0.2">
      <c r="A1" s="1" t="s">
        <v>9</v>
      </c>
      <c r="B1" s="1" t="s">
        <v>10</v>
      </c>
      <c r="C1" s="1" t="s">
        <v>11</v>
      </c>
      <c r="D1" s="1" t="s">
        <v>12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221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</row>
    <row r="2" spans="1:20" x14ac:dyDescent="0.2">
      <c r="A2" t="s">
        <v>13</v>
      </c>
      <c r="B2" t="s">
        <v>14</v>
      </c>
      <c r="C2" t="s">
        <v>15</v>
      </c>
      <c r="D2" t="s">
        <v>16</v>
      </c>
      <c r="F2">
        <v>75</v>
      </c>
      <c r="G2">
        <v>65</v>
      </c>
      <c r="H2">
        <v>86.67</v>
      </c>
      <c r="I2" s="2"/>
      <c r="J2">
        <v>97.75</v>
      </c>
      <c r="K2" s="2"/>
      <c r="L2">
        <v>91.25</v>
      </c>
      <c r="M2">
        <v>89.71</v>
      </c>
      <c r="N2">
        <v>82.5</v>
      </c>
      <c r="O2" s="2"/>
      <c r="P2">
        <v>84</v>
      </c>
      <c r="Q2">
        <v>95</v>
      </c>
      <c r="R2">
        <v>77</v>
      </c>
      <c r="S2">
        <f>(SUM(F2:O2) )/8*0.15</f>
        <v>11.02275</v>
      </c>
      <c r="T2" s="3">
        <f>P2*0.25+Q2*0.25+R2*0.35+S2</f>
        <v>82.722750000000005</v>
      </c>
    </row>
    <row r="3" spans="1:20" x14ac:dyDescent="0.2">
      <c r="A3" t="s">
        <v>17</v>
      </c>
      <c r="B3" t="s">
        <v>18</v>
      </c>
      <c r="C3" t="s">
        <v>19</v>
      </c>
      <c r="D3" t="s">
        <v>20</v>
      </c>
      <c r="F3">
        <v>90.83</v>
      </c>
      <c r="G3">
        <v>60</v>
      </c>
      <c r="H3">
        <v>93.33</v>
      </c>
      <c r="I3" s="2"/>
      <c r="J3" s="2"/>
      <c r="K3">
        <v>93.57</v>
      </c>
      <c r="L3" s="2"/>
      <c r="M3">
        <v>83.82</v>
      </c>
      <c r="N3">
        <v>82.5</v>
      </c>
      <c r="O3">
        <v>88</v>
      </c>
      <c r="P3">
        <v>80</v>
      </c>
      <c r="Q3">
        <v>83.33</v>
      </c>
      <c r="R3">
        <v>71</v>
      </c>
      <c r="S3">
        <f>(SUM(F3:O3) )/8*0.15</f>
        <v>11.100937499999999</v>
      </c>
      <c r="T3" s="3">
        <f t="shared" ref="T3:T64" si="0">P3*0.25+Q3*0.25+R3*0.35+S3</f>
        <v>76.783437499999991</v>
      </c>
    </row>
    <row r="4" spans="1:20" x14ac:dyDescent="0.2">
      <c r="A4" t="s">
        <v>21</v>
      </c>
      <c r="B4" t="s">
        <v>22</v>
      </c>
      <c r="C4" t="s">
        <v>23</v>
      </c>
      <c r="D4" t="s">
        <v>23</v>
      </c>
      <c r="F4">
        <v>79.58</v>
      </c>
      <c r="G4">
        <v>80</v>
      </c>
      <c r="H4">
        <v>93.33</v>
      </c>
      <c r="I4">
        <v>85.83</v>
      </c>
      <c r="J4">
        <v>84.25</v>
      </c>
      <c r="K4">
        <v>80.709999999999994</v>
      </c>
      <c r="L4">
        <v>87.5</v>
      </c>
      <c r="M4">
        <v>89.71</v>
      </c>
      <c r="N4">
        <v>72.5</v>
      </c>
      <c r="O4" s="2"/>
      <c r="P4">
        <v>68</v>
      </c>
      <c r="Q4">
        <v>85</v>
      </c>
      <c r="R4">
        <v>39</v>
      </c>
      <c r="S4">
        <f>(SUM(F4:O4) - SMALL(F4:O4,1))/8*0.15</f>
        <v>12.7670625</v>
      </c>
      <c r="T4" s="3">
        <f t="shared" si="0"/>
        <v>64.6670625</v>
      </c>
    </row>
    <row r="5" spans="1:20" x14ac:dyDescent="0.2">
      <c r="A5" t="s">
        <v>24</v>
      </c>
      <c r="B5" t="s">
        <v>25</v>
      </c>
      <c r="C5" t="s">
        <v>26</v>
      </c>
      <c r="D5" t="s">
        <v>26</v>
      </c>
      <c r="F5">
        <v>88.33</v>
      </c>
      <c r="G5">
        <v>65</v>
      </c>
      <c r="H5" s="2"/>
      <c r="I5">
        <v>85.83</v>
      </c>
      <c r="J5">
        <v>93</v>
      </c>
      <c r="K5" s="2"/>
      <c r="L5">
        <v>100</v>
      </c>
      <c r="M5">
        <v>85.78</v>
      </c>
      <c r="N5">
        <v>82.5</v>
      </c>
      <c r="O5" s="2"/>
      <c r="P5">
        <v>82</v>
      </c>
      <c r="Q5">
        <v>85</v>
      </c>
      <c r="R5">
        <v>22</v>
      </c>
      <c r="S5">
        <f>(SUM(F5:O5))/8*0.15</f>
        <v>11.258249999999999</v>
      </c>
      <c r="T5" s="3">
        <f t="shared" si="0"/>
        <v>60.70825</v>
      </c>
    </row>
    <row r="6" spans="1:20" x14ac:dyDescent="0.2">
      <c r="A6" t="s">
        <v>27</v>
      </c>
      <c r="B6" t="s">
        <v>28</v>
      </c>
      <c r="C6" t="s">
        <v>29</v>
      </c>
      <c r="D6" t="s">
        <v>30</v>
      </c>
      <c r="F6">
        <v>86.67</v>
      </c>
      <c r="G6">
        <v>70</v>
      </c>
      <c r="H6">
        <v>80</v>
      </c>
      <c r="I6">
        <v>78.75</v>
      </c>
      <c r="J6" s="2"/>
      <c r="K6">
        <v>85.24</v>
      </c>
      <c r="L6">
        <v>85</v>
      </c>
      <c r="M6">
        <v>81.86</v>
      </c>
      <c r="N6">
        <v>82.5</v>
      </c>
      <c r="O6" s="2"/>
      <c r="P6">
        <v>78</v>
      </c>
      <c r="Q6">
        <v>85</v>
      </c>
      <c r="R6">
        <v>43</v>
      </c>
      <c r="S6">
        <f>(SUM(F6:O6) )/8*0.15</f>
        <v>12.187875</v>
      </c>
      <c r="T6" s="3">
        <f t="shared" si="0"/>
        <v>67.987875000000003</v>
      </c>
    </row>
    <row r="7" spans="1:20" x14ac:dyDescent="0.2">
      <c r="A7" t="s">
        <v>31</v>
      </c>
      <c r="B7" t="s">
        <v>32</v>
      </c>
      <c r="C7" t="s">
        <v>33</v>
      </c>
      <c r="D7" t="s">
        <v>33</v>
      </c>
      <c r="F7">
        <v>96.67</v>
      </c>
      <c r="G7">
        <v>50</v>
      </c>
      <c r="H7">
        <v>100</v>
      </c>
      <c r="I7">
        <v>90.83</v>
      </c>
      <c r="J7">
        <v>96.25</v>
      </c>
      <c r="K7">
        <v>92.14</v>
      </c>
      <c r="L7">
        <v>97.5</v>
      </c>
      <c r="M7">
        <v>94.12</v>
      </c>
      <c r="N7">
        <v>82.5</v>
      </c>
      <c r="O7" s="2"/>
      <c r="P7">
        <v>76</v>
      </c>
      <c r="Q7">
        <v>83.33</v>
      </c>
      <c r="R7">
        <v>69</v>
      </c>
      <c r="S7">
        <f>(SUM(F7:O7) - SMALL(F7:O7,1) )/8*0.15</f>
        <v>14.062687499999999</v>
      </c>
      <c r="T7" s="3">
        <f t="shared" si="0"/>
        <v>78.045187499999997</v>
      </c>
    </row>
    <row r="8" spans="1:20" x14ac:dyDescent="0.2">
      <c r="A8" t="s">
        <v>34</v>
      </c>
      <c r="B8" t="s">
        <v>35</v>
      </c>
      <c r="C8" t="s">
        <v>36</v>
      </c>
      <c r="D8" t="s">
        <v>36</v>
      </c>
      <c r="F8">
        <v>86.67</v>
      </c>
      <c r="G8">
        <v>55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>
        <f>(SUM(F8:O8) )/8*0.15</f>
        <v>2.6563125000000003</v>
      </c>
      <c r="T8" s="6">
        <f t="shared" si="0"/>
        <v>2.6563125000000003</v>
      </c>
    </row>
    <row r="9" spans="1:20" x14ac:dyDescent="0.2">
      <c r="A9" t="s">
        <v>37</v>
      </c>
      <c r="B9" t="s">
        <v>38</v>
      </c>
      <c r="C9" t="s">
        <v>39</v>
      </c>
      <c r="D9" t="s">
        <v>39</v>
      </c>
      <c r="F9">
        <v>74.58</v>
      </c>
      <c r="G9">
        <v>75</v>
      </c>
      <c r="H9">
        <v>86.67</v>
      </c>
      <c r="I9">
        <v>95.83</v>
      </c>
      <c r="J9">
        <v>93.25</v>
      </c>
      <c r="K9">
        <v>88.57</v>
      </c>
      <c r="L9">
        <v>85</v>
      </c>
      <c r="M9">
        <v>84.31</v>
      </c>
      <c r="N9">
        <v>87.5</v>
      </c>
      <c r="O9">
        <v>93</v>
      </c>
      <c r="P9">
        <v>88</v>
      </c>
      <c r="Q9">
        <v>78.33</v>
      </c>
      <c r="R9">
        <v>66</v>
      </c>
      <c r="S9">
        <f t="shared" ref="S9:S64" si="1">(SUM(F9:O9) - SMALL(F9:O9,1) - SMALL(F9:O9,2))/8*0.15</f>
        <v>13.3899375</v>
      </c>
      <c r="T9" s="3">
        <f t="shared" si="0"/>
        <v>78.072437499999992</v>
      </c>
    </row>
    <row r="10" spans="1:20" x14ac:dyDescent="0.2">
      <c r="A10" t="s">
        <v>40</v>
      </c>
      <c r="B10" t="s">
        <v>41</v>
      </c>
      <c r="C10" t="s">
        <v>42</v>
      </c>
      <c r="D10" t="s">
        <v>43</v>
      </c>
      <c r="F10">
        <v>81.25</v>
      </c>
      <c r="G10">
        <v>50</v>
      </c>
      <c r="H10">
        <v>100</v>
      </c>
      <c r="I10">
        <v>100</v>
      </c>
      <c r="J10">
        <v>72.75</v>
      </c>
      <c r="K10">
        <v>90</v>
      </c>
      <c r="L10">
        <v>85</v>
      </c>
      <c r="M10">
        <v>91.18</v>
      </c>
      <c r="N10">
        <v>97.5</v>
      </c>
      <c r="O10">
        <v>100</v>
      </c>
      <c r="P10">
        <v>86</v>
      </c>
      <c r="Q10">
        <v>76.67</v>
      </c>
      <c r="R10">
        <v>60</v>
      </c>
      <c r="S10">
        <f t="shared" si="1"/>
        <v>13.967437500000001</v>
      </c>
      <c r="T10" s="3">
        <f t="shared" si="0"/>
        <v>75.634937500000007</v>
      </c>
    </row>
    <row r="11" spans="1:20" x14ac:dyDescent="0.2">
      <c r="A11" t="s">
        <v>44</v>
      </c>
      <c r="B11" t="s">
        <v>45</v>
      </c>
      <c r="C11" t="s">
        <v>46</v>
      </c>
      <c r="D11" t="s">
        <v>46</v>
      </c>
      <c r="P11">
        <v>82</v>
      </c>
      <c r="Q11">
        <v>83.33</v>
      </c>
      <c r="R11">
        <v>74</v>
      </c>
      <c r="T11" s="3">
        <f t="shared" si="0"/>
        <v>67.232499999999987</v>
      </c>
    </row>
    <row r="12" spans="1:20" x14ac:dyDescent="0.2">
      <c r="A12" t="s">
        <v>47</v>
      </c>
      <c r="B12" t="s">
        <v>48</v>
      </c>
      <c r="C12" t="s">
        <v>49</v>
      </c>
      <c r="D12" t="s">
        <v>50</v>
      </c>
      <c r="F12" s="2"/>
      <c r="G12">
        <v>25</v>
      </c>
      <c r="H12" s="2"/>
      <c r="I12">
        <v>56.67</v>
      </c>
      <c r="J12">
        <v>65.25</v>
      </c>
      <c r="K12">
        <v>53.1</v>
      </c>
      <c r="L12">
        <v>62.5</v>
      </c>
      <c r="M12">
        <v>58.33</v>
      </c>
      <c r="N12">
        <v>75</v>
      </c>
      <c r="O12">
        <v>78</v>
      </c>
      <c r="P12">
        <v>62</v>
      </c>
      <c r="Q12">
        <v>71.67</v>
      </c>
      <c r="R12">
        <v>41</v>
      </c>
      <c r="S12">
        <f>(SUM(F12:O12))/8*0.15</f>
        <v>8.8846874999999983</v>
      </c>
      <c r="T12" s="3">
        <f t="shared" si="0"/>
        <v>56.652187500000004</v>
      </c>
    </row>
    <row r="13" spans="1:20" x14ac:dyDescent="0.2">
      <c r="A13" t="s">
        <v>51</v>
      </c>
      <c r="B13" t="s">
        <v>52</v>
      </c>
      <c r="C13" t="s">
        <v>53</v>
      </c>
      <c r="D13" t="s">
        <v>54</v>
      </c>
      <c r="F13">
        <v>77.08</v>
      </c>
      <c r="G13">
        <v>70</v>
      </c>
      <c r="H13" s="2"/>
      <c r="I13">
        <v>91.25</v>
      </c>
      <c r="J13">
        <v>91.5</v>
      </c>
      <c r="K13" s="2"/>
      <c r="L13">
        <v>90</v>
      </c>
      <c r="M13">
        <v>87.75</v>
      </c>
      <c r="N13" s="2"/>
      <c r="O13" s="2"/>
      <c r="P13">
        <v>86</v>
      </c>
      <c r="Q13">
        <v>61.67</v>
      </c>
      <c r="R13">
        <v>72</v>
      </c>
      <c r="S13">
        <f>(SUM(F13:O13) )/8*0.15</f>
        <v>9.5171250000000001</v>
      </c>
      <c r="T13" s="3">
        <f t="shared" si="0"/>
        <v>71.634625</v>
      </c>
    </row>
    <row r="14" spans="1:20" x14ac:dyDescent="0.2">
      <c r="A14" t="s">
        <v>55</v>
      </c>
      <c r="B14" t="s">
        <v>56</v>
      </c>
      <c r="C14" t="s">
        <v>57</v>
      </c>
      <c r="D14" t="s">
        <v>58</v>
      </c>
      <c r="F14">
        <v>50</v>
      </c>
      <c r="G14">
        <v>80</v>
      </c>
      <c r="H14">
        <v>93.33</v>
      </c>
      <c r="I14">
        <v>89.17</v>
      </c>
      <c r="J14">
        <v>92</v>
      </c>
      <c r="K14">
        <v>93.57</v>
      </c>
      <c r="M14">
        <v>87.75</v>
      </c>
      <c r="P14">
        <v>86</v>
      </c>
      <c r="Q14">
        <v>96.67</v>
      </c>
      <c r="R14">
        <v>67</v>
      </c>
      <c r="S14">
        <f t="shared" ref="S14:S17" si="2">(SUM(F14:O14) )/8*0.15</f>
        <v>10.984124999999999</v>
      </c>
      <c r="T14" s="3">
        <f t="shared" si="0"/>
        <v>80.101625000000013</v>
      </c>
    </row>
    <row r="15" spans="1:20" x14ac:dyDescent="0.2">
      <c r="A15" t="s">
        <v>59</v>
      </c>
      <c r="B15" t="s">
        <v>60</v>
      </c>
      <c r="C15" t="s">
        <v>61</v>
      </c>
      <c r="D15" t="s">
        <v>61</v>
      </c>
      <c r="F15">
        <v>67.08</v>
      </c>
      <c r="H15">
        <v>60</v>
      </c>
      <c r="J15">
        <v>52.75</v>
      </c>
      <c r="K15">
        <v>34.29</v>
      </c>
      <c r="L15">
        <v>75</v>
      </c>
      <c r="P15">
        <v>48</v>
      </c>
      <c r="Q15">
        <v>60</v>
      </c>
      <c r="R15">
        <v>37</v>
      </c>
      <c r="S15">
        <f t="shared" si="2"/>
        <v>5.4210000000000003</v>
      </c>
      <c r="T15" s="3">
        <f t="shared" si="0"/>
        <v>45.371000000000002</v>
      </c>
    </row>
    <row r="16" spans="1:20" x14ac:dyDescent="0.2">
      <c r="A16" t="s">
        <v>62</v>
      </c>
      <c r="B16" t="s">
        <v>63</v>
      </c>
      <c r="C16" t="s">
        <v>64</v>
      </c>
      <c r="D16" t="s">
        <v>65</v>
      </c>
      <c r="G16">
        <v>45</v>
      </c>
      <c r="H16">
        <v>86.67</v>
      </c>
      <c r="I16">
        <v>80.83</v>
      </c>
      <c r="K16">
        <v>78.569999999999993</v>
      </c>
      <c r="L16">
        <v>83.04</v>
      </c>
      <c r="M16">
        <v>70.099999999999994</v>
      </c>
      <c r="N16">
        <v>75</v>
      </c>
      <c r="O16">
        <v>88</v>
      </c>
      <c r="P16">
        <v>74</v>
      </c>
      <c r="Q16">
        <v>78.33</v>
      </c>
      <c r="R16">
        <v>68</v>
      </c>
      <c r="S16">
        <f t="shared" si="2"/>
        <v>11.385187500000001</v>
      </c>
      <c r="T16" s="3">
        <f t="shared" si="0"/>
        <v>73.267687499999994</v>
      </c>
    </row>
    <row r="17" spans="1:20" x14ac:dyDescent="0.2">
      <c r="A17" t="s">
        <v>66</v>
      </c>
      <c r="B17" t="s">
        <v>67</v>
      </c>
      <c r="C17" t="s">
        <v>68</v>
      </c>
      <c r="D17" t="s">
        <v>68</v>
      </c>
      <c r="F17">
        <v>96.67</v>
      </c>
      <c r="H17">
        <v>80</v>
      </c>
      <c r="I17">
        <v>92.5</v>
      </c>
      <c r="J17">
        <v>88</v>
      </c>
      <c r="L17">
        <v>85</v>
      </c>
      <c r="P17">
        <v>80</v>
      </c>
      <c r="Q17">
        <v>95</v>
      </c>
      <c r="R17">
        <v>62</v>
      </c>
      <c r="S17">
        <f t="shared" si="2"/>
        <v>8.2906875000000007</v>
      </c>
      <c r="T17" s="3">
        <f t="shared" si="0"/>
        <v>73.740687500000007</v>
      </c>
    </row>
    <row r="18" spans="1:20" x14ac:dyDescent="0.2">
      <c r="A18" t="s">
        <v>69</v>
      </c>
      <c r="B18" t="s">
        <v>70</v>
      </c>
      <c r="C18" t="s">
        <v>71</v>
      </c>
      <c r="D18" t="s">
        <v>71</v>
      </c>
      <c r="F18">
        <v>78.75</v>
      </c>
      <c r="G18">
        <v>65</v>
      </c>
      <c r="I18">
        <v>76.67</v>
      </c>
      <c r="J18">
        <v>67.75</v>
      </c>
      <c r="K18">
        <v>72.38</v>
      </c>
      <c r="L18">
        <v>68.75</v>
      </c>
      <c r="M18">
        <v>81.37</v>
      </c>
      <c r="N18">
        <v>90</v>
      </c>
      <c r="O18">
        <v>76</v>
      </c>
      <c r="P18">
        <v>86</v>
      </c>
      <c r="Q18">
        <v>76.67</v>
      </c>
      <c r="R18">
        <v>62</v>
      </c>
      <c r="S18">
        <f>(SUM(F18:O18) - SMALL(F18:O18,1) )/8*0.15</f>
        <v>11.4688125</v>
      </c>
      <c r="T18" s="3">
        <f t="shared" si="0"/>
        <v>73.836312500000005</v>
      </c>
    </row>
    <row r="19" spans="1:20" x14ac:dyDescent="0.2">
      <c r="A19" t="s">
        <v>72</v>
      </c>
      <c r="B19" t="s">
        <v>73</v>
      </c>
      <c r="C19" t="s">
        <v>74</v>
      </c>
      <c r="D19" t="s">
        <v>74</v>
      </c>
      <c r="G19">
        <v>35</v>
      </c>
      <c r="H19">
        <v>86.67</v>
      </c>
      <c r="I19">
        <v>52.08</v>
      </c>
      <c r="J19">
        <v>71.75</v>
      </c>
      <c r="K19">
        <v>56.19</v>
      </c>
      <c r="L19">
        <v>51.07</v>
      </c>
      <c r="M19">
        <v>74.510000000000005</v>
      </c>
      <c r="N19">
        <v>85</v>
      </c>
      <c r="O19">
        <v>83</v>
      </c>
      <c r="P19">
        <v>70</v>
      </c>
      <c r="Q19">
        <v>66.67</v>
      </c>
      <c r="R19">
        <v>57</v>
      </c>
      <c r="S19">
        <f>(SUM(F19:O19) - SMALL(F19:O19,1) )/8*0.15</f>
        <v>10.505062499999999</v>
      </c>
      <c r="T19" s="3">
        <f t="shared" si="0"/>
        <v>64.622562500000001</v>
      </c>
    </row>
    <row r="20" spans="1:20" x14ac:dyDescent="0.2">
      <c r="A20" t="s">
        <v>75</v>
      </c>
      <c r="B20" t="s">
        <v>76</v>
      </c>
      <c r="C20" t="s">
        <v>77</v>
      </c>
      <c r="D20" t="s">
        <v>77</v>
      </c>
      <c r="F20">
        <v>71.67</v>
      </c>
      <c r="H20">
        <v>86.67</v>
      </c>
      <c r="K20">
        <v>96.67</v>
      </c>
      <c r="L20">
        <v>66.25</v>
      </c>
      <c r="M20">
        <v>91.18</v>
      </c>
      <c r="N20">
        <v>87.5</v>
      </c>
      <c r="O20">
        <v>56</v>
      </c>
      <c r="P20">
        <v>72</v>
      </c>
      <c r="Q20">
        <v>91.67</v>
      </c>
      <c r="R20">
        <v>56</v>
      </c>
      <c r="S20">
        <f>(SUM(F20:O20))/8*0.15</f>
        <v>10.423875000000001</v>
      </c>
      <c r="T20" s="3">
        <f t="shared" si="0"/>
        <v>70.941374999999994</v>
      </c>
    </row>
    <row r="21" spans="1:20" x14ac:dyDescent="0.2">
      <c r="A21" t="s">
        <v>78</v>
      </c>
      <c r="B21" t="s">
        <v>79</v>
      </c>
      <c r="C21" t="s">
        <v>80</v>
      </c>
      <c r="D21" t="s">
        <v>81</v>
      </c>
      <c r="F21">
        <v>88.75</v>
      </c>
      <c r="G21">
        <v>75</v>
      </c>
      <c r="H21">
        <v>100</v>
      </c>
      <c r="I21">
        <v>93.33</v>
      </c>
      <c r="J21">
        <v>92.5</v>
      </c>
      <c r="K21">
        <v>98.57</v>
      </c>
      <c r="L21">
        <v>93.75</v>
      </c>
      <c r="P21">
        <v>96</v>
      </c>
      <c r="Q21">
        <v>91.67</v>
      </c>
      <c r="R21">
        <v>81</v>
      </c>
      <c r="S21">
        <f>(SUM(F21:O21))/8*0.15</f>
        <v>12.035625</v>
      </c>
      <c r="T21" s="3">
        <f t="shared" si="0"/>
        <v>87.303124999999994</v>
      </c>
    </row>
    <row r="22" spans="1:20" x14ac:dyDescent="0.2">
      <c r="A22" t="s">
        <v>82</v>
      </c>
      <c r="B22" t="s">
        <v>83</v>
      </c>
      <c r="C22" t="s">
        <v>84</v>
      </c>
      <c r="D22" t="s">
        <v>84</v>
      </c>
      <c r="F22">
        <v>86.25</v>
      </c>
      <c r="G22">
        <v>30</v>
      </c>
      <c r="H22">
        <v>80</v>
      </c>
      <c r="I22">
        <v>50</v>
      </c>
      <c r="J22">
        <v>77.75</v>
      </c>
      <c r="K22">
        <v>82.38</v>
      </c>
      <c r="L22">
        <v>51.25</v>
      </c>
      <c r="M22">
        <v>92.16</v>
      </c>
      <c r="N22">
        <v>67.5</v>
      </c>
      <c r="P22">
        <v>70</v>
      </c>
      <c r="Q22">
        <v>75</v>
      </c>
      <c r="R22">
        <v>45</v>
      </c>
      <c r="S22">
        <f>(SUM(F22:O22) - SMALL(F22:O22,1) )/8*0.15</f>
        <v>11.011687499999999</v>
      </c>
      <c r="T22" s="3">
        <f t="shared" si="0"/>
        <v>63.011687500000001</v>
      </c>
    </row>
    <row r="23" spans="1:20" x14ac:dyDescent="0.2">
      <c r="A23" t="s">
        <v>85</v>
      </c>
      <c r="B23" t="s">
        <v>86</v>
      </c>
      <c r="C23" t="s">
        <v>87</v>
      </c>
      <c r="D23" t="s">
        <v>87</v>
      </c>
      <c r="F23">
        <v>87.5</v>
      </c>
      <c r="G23">
        <v>55</v>
      </c>
      <c r="H23">
        <v>86.67</v>
      </c>
      <c r="I23">
        <v>88.33</v>
      </c>
      <c r="J23">
        <v>75.25</v>
      </c>
      <c r="K23">
        <v>95</v>
      </c>
      <c r="L23">
        <v>87.5</v>
      </c>
      <c r="M23">
        <v>90.2</v>
      </c>
      <c r="N23">
        <v>82.5</v>
      </c>
      <c r="O23">
        <v>100</v>
      </c>
      <c r="P23">
        <v>88</v>
      </c>
      <c r="Q23">
        <v>91.67</v>
      </c>
      <c r="R23">
        <v>72</v>
      </c>
      <c r="S23">
        <f t="shared" si="1"/>
        <v>13.456875</v>
      </c>
      <c r="T23" s="3">
        <f t="shared" si="0"/>
        <v>83.574375000000003</v>
      </c>
    </row>
    <row r="24" spans="1:20" x14ac:dyDescent="0.2">
      <c r="A24" t="s">
        <v>88</v>
      </c>
      <c r="B24" t="s">
        <v>89</v>
      </c>
      <c r="C24" t="s">
        <v>90</v>
      </c>
      <c r="D24" t="s">
        <v>90</v>
      </c>
      <c r="F24">
        <v>76.25</v>
      </c>
      <c r="H24">
        <v>80</v>
      </c>
      <c r="I24">
        <v>45.83</v>
      </c>
      <c r="J24">
        <v>56.25</v>
      </c>
      <c r="P24">
        <v>74</v>
      </c>
      <c r="Q24" s="5"/>
      <c r="R24" s="5"/>
      <c r="S24">
        <f>(SUM(F24:O24) )/8*0.15</f>
        <v>4.8436874999999997</v>
      </c>
      <c r="T24" s="6">
        <f t="shared" si="0"/>
        <v>23.343687500000001</v>
      </c>
    </row>
    <row r="25" spans="1:20" x14ac:dyDescent="0.2">
      <c r="A25" t="s">
        <v>91</v>
      </c>
      <c r="B25" t="s">
        <v>92</v>
      </c>
      <c r="C25" t="s">
        <v>93</v>
      </c>
      <c r="D25" t="s">
        <v>93</v>
      </c>
      <c r="H25">
        <v>80</v>
      </c>
      <c r="J25">
        <v>94</v>
      </c>
      <c r="K25">
        <v>100</v>
      </c>
      <c r="M25">
        <v>84.31</v>
      </c>
      <c r="N25">
        <v>77.5</v>
      </c>
      <c r="P25">
        <v>72</v>
      </c>
      <c r="Q25">
        <v>83.33</v>
      </c>
      <c r="R25">
        <v>58</v>
      </c>
      <c r="S25">
        <f>(SUM(F25:O25) )/8*0.15</f>
        <v>8.1714374999999997</v>
      </c>
      <c r="T25" s="3">
        <f t="shared" si="0"/>
        <v>67.303937499999989</v>
      </c>
    </row>
    <row r="26" spans="1:20" x14ac:dyDescent="0.2">
      <c r="A26" t="s">
        <v>94</v>
      </c>
      <c r="B26" t="s">
        <v>95</v>
      </c>
      <c r="C26" t="s">
        <v>96</v>
      </c>
      <c r="D26" t="s">
        <v>97</v>
      </c>
      <c r="F26">
        <v>85.42</v>
      </c>
      <c r="G26">
        <v>40</v>
      </c>
      <c r="P26">
        <v>72</v>
      </c>
      <c r="Q26">
        <v>70</v>
      </c>
      <c r="R26">
        <v>73</v>
      </c>
      <c r="S26">
        <f>(SUM(F26:O26) )/8*0.15</f>
        <v>2.3516249999999999</v>
      </c>
      <c r="T26" s="3">
        <f t="shared" si="0"/>
        <v>63.401624999999996</v>
      </c>
    </row>
    <row r="27" spans="1:20" x14ac:dyDescent="0.2">
      <c r="A27" t="s">
        <v>98</v>
      </c>
      <c r="B27" t="s">
        <v>99</v>
      </c>
      <c r="C27" t="s">
        <v>100</v>
      </c>
      <c r="D27" t="s">
        <v>100</v>
      </c>
      <c r="F27">
        <v>73.75</v>
      </c>
      <c r="G27">
        <v>65</v>
      </c>
      <c r="H27">
        <v>93.33</v>
      </c>
      <c r="I27">
        <v>75</v>
      </c>
      <c r="J27">
        <v>65.75</v>
      </c>
      <c r="K27">
        <v>88.57</v>
      </c>
      <c r="L27">
        <v>90</v>
      </c>
      <c r="M27">
        <v>85.78</v>
      </c>
      <c r="N27">
        <v>90</v>
      </c>
      <c r="P27">
        <v>56</v>
      </c>
      <c r="Q27">
        <v>70</v>
      </c>
      <c r="R27">
        <v>42</v>
      </c>
      <c r="S27">
        <f>(SUM(F27:O27) - SMALL(F27:O27,1))/8*0.15</f>
        <v>12.415874999999998</v>
      </c>
      <c r="T27" s="3">
        <f t="shared" si="0"/>
        <v>58.615875000000003</v>
      </c>
    </row>
    <row r="28" spans="1:20" x14ac:dyDescent="0.2">
      <c r="A28" t="s">
        <v>101</v>
      </c>
      <c r="B28" t="s">
        <v>102</v>
      </c>
      <c r="C28" t="s">
        <v>103</v>
      </c>
      <c r="D28" t="s">
        <v>104</v>
      </c>
      <c r="G28">
        <v>75</v>
      </c>
      <c r="H28">
        <v>86.67</v>
      </c>
      <c r="K28">
        <v>60.48</v>
      </c>
      <c r="M28">
        <v>52.94</v>
      </c>
      <c r="P28">
        <v>66</v>
      </c>
      <c r="Q28">
        <v>78.33</v>
      </c>
      <c r="R28">
        <v>54</v>
      </c>
      <c r="S28">
        <f>(SUM(F28:O28) )/8*0.15</f>
        <v>5.1579375000000001</v>
      </c>
      <c r="T28" s="3">
        <f t="shared" si="0"/>
        <v>60.140437499999997</v>
      </c>
    </row>
    <row r="29" spans="1:20" x14ac:dyDescent="0.2">
      <c r="A29" t="s">
        <v>105</v>
      </c>
      <c r="B29" t="s">
        <v>106</v>
      </c>
      <c r="C29" t="s">
        <v>107</v>
      </c>
      <c r="D29" t="s">
        <v>107</v>
      </c>
      <c r="F29">
        <v>72.08</v>
      </c>
      <c r="G29">
        <v>60</v>
      </c>
      <c r="H29">
        <v>66.67</v>
      </c>
      <c r="I29">
        <v>65</v>
      </c>
      <c r="J29">
        <v>64.92</v>
      </c>
      <c r="K29">
        <v>80.95</v>
      </c>
      <c r="L29">
        <v>73.75</v>
      </c>
      <c r="M29">
        <v>79.41</v>
      </c>
      <c r="N29">
        <v>72.5</v>
      </c>
      <c r="O29">
        <v>90</v>
      </c>
      <c r="P29">
        <v>70</v>
      </c>
      <c r="Q29">
        <v>93.33</v>
      </c>
      <c r="R29">
        <v>72</v>
      </c>
      <c r="S29">
        <f t="shared" si="1"/>
        <v>11.25675</v>
      </c>
      <c r="T29" s="3">
        <f t="shared" si="0"/>
        <v>77.289249999999996</v>
      </c>
    </row>
    <row r="30" spans="1:20" s="7" customFormat="1" x14ac:dyDescent="0.2">
      <c r="A30" s="7" t="s">
        <v>108</v>
      </c>
      <c r="B30" s="7" t="s">
        <v>109</v>
      </c>
      <c r="C30" s="7" t="s">
        <v>110</v>
      </c>
      <c r="D30" s="7" t="s">
        <v>111</v>
      </c>
      <c r="F30" s="7">
        <v>77.92</v>
      </c>
      <c r="G30" s="7">
        <v>70</v>
      </c>
      <c r="H30" s="7">
        <v>100</v>
      </c>
      <c r="I30" s="7">
        <v>0</v>
      </c>
      <c r="J30" s="7">
        <v>100</v>
      </c>
      <c r="K30" s="7">
        <v>88.57</v>
      </c>
      <c r="L30" s="7">
        <v>90</v>
      </c>
      <c r="M30" s="7">
        <v>85.29</v>
      </c>
      <c r="N30" s="7">
        <v>87.5</v>
      </c>
      <c r="O30" s="7">
        <v>95</v>
      </c>
      <c r="Q30" s="7">
        <v>70</v>
      </c>
      <c r="R30" s="7">
        <v>67</v>
      </c>
      <c r="S30" s="7">
        <f t="shared" si="1"/>
        <v>13.580249999999999</v>
      </c>
      <c r="T30" s="8">
        <f>P30*0.25+Q30*0.25+R30*0.6+S30</f>
        <v>71.280249999999995</v>
      </c>
    </row>
    <row r="31" spans="1:20" x14ac:dyDescent="0.2">
      <c r="A31" t="s">
        <v>112</v>
      </c>
      <c r="B31" t="s">
        <v>113</v>
      </c>
      <c r="C31" t="s">
        <v>114</v>
      </c>
      <c r="D31" t="s">
        <v>114</v>
      </c>
      <c r="F31">
        <v>93.33</v>
      </c>
      <c r="G31">
        <v>70</v>
      </c>
      <c r="J31">
        <v>91.5</v>
      </c>
      <c r="K31">
        <v>72.14</v>
      </c>
      <c r="L31">
        <v>100</v>
      </c>
      <c r="M31">
        <v>88.73</v>
      </c>
      <c r="O31">
        <v>95</v>
      </c>
      <c r="P31">
        <v>84</v>
      </c>
      <c r="Q31">
        <v>93.33</v>
      </c>
      <c r="R31">
        <v>77</v>
      </c>
      <c r="S31">
        <f>(SUM(F31:O31))/8*0.15</f>
        <v>11.450624999999999</v>
      </c>
      <c r="T31" s="3">
        <f t="shared" si="0"/>
        <v>82.733125000000001</v>
      </c>
    </row>
    <row r="32" spans="1:20" x14ac:dyDescent="0.2">
      <c r="A32" t="s">
        <v>115</v>
      </c>
      <c r="B32" t="s">
        <v>116</v>
      </c>
      <c r="C32" t="s">
        <v>117</v>
      </c>
      <c r="D32" t="s">
        <v>117</v>
      </c>
      <c r="F32">
        <v>85.42</v>
      </c>
      <c r="G32">
        <v>60</v>
      </c>
      <c r="H32">
        <v>93.33</v>
      </c>
      <c r="I32">
        <v>87.08</v>
      </c>
      <c r="J32">
        <v>60.5</v>
      </c>
      <c r="K32">
        <v>88.57</v>
      </c>
      <c r="L32">
        <v>95</v>
      </c>
      <c r="M32">
        <v>87.75</v>
      </c>
      <c r="N32">
        <v>82.5</v>
      </c>
      <c r="O32">
        <v>90</v>
      </c>
      <c r="P32">
        <v>84</v>
      </c>
      <c r="Q32">
        <v>78.33</v>
      </c>
      <c r="R32">
        <v>41</v>
      </c>
      <c r="S32">
        <f t="shared" si="1"/>
        <v>13.305937499999999</v>
      </c>
      <c r="T32" s="3">
        <f t="shared" si="0"/>
        <v>68.238437500000003</v>
      </c>
    </row>
    <row r="33" spans="1:20" x14ac:dyDescent="0.2">
      <c r="A33" t="s">
        <v>118</v>
      </c>
      <c r="B33" t="s">
        <v>119</v>
      </c>
      <c r="C33" t="s">
        <v>120</v>
      </c>
      <c r="D33" t="s">
        <v>121</v>
      </c>
      <c r="H33">
        <v>80</v>
      </c>
      <c r="I33">
        <v>76.67</v>
      </c>
      <c r="J33">
        <v>62</v>
      </c>
      <c r="K33">
        <v>72.62</v>
      </c>
      <c r="L33">
        <v>67.5</v>
      </c>
      <c r="M33">
        <v>72.06</v>
      </c>
      <c r="P33">
        <v>76</v>
      </c>
      <c r="Q33">
        <v>88.33</v>
      </c>
      <c r="R33">
        <v>48</v>
      </c>
      <c r="S33">
        <f>(SUM(F33:O33) )/8*0.15</f>
        <v>8.0784374999999997</v>
      </c>
      <c r="T33" s="3">
        <f t="shared" si="0"/>
        <v>65.9609375</v>
      </c>
    </row>
    <row r="34" spans="1:20" s="2" customFormat="1" x14ac:dyDescent="0.2">
      <c r="A34" s="2" t="s">
        <v>122</v>
      </c>
      <c r="B34" s="2" t="s">
        <v>123</v>
      </c>
      <c r="C34" s="2" t="s">
        <v>124</v>
      </c>
      <c r="D34" s="2" t="s">
        <v>125</v>
      </c>
      <c r="P34" s="2">
        <v>78</v>
      </c>
      <c r="Q34" s="5"/>
      <c r="R34" s="5"/>
      <c r="S34"/>
      <c r="T34" s="6">
        <f t="shared" si="0"/>
        <v>19.5</v>
      </c>
    </row>
    <row r="35" spans="1:20" x14ac:dyDescent="0.2">
      <c r="A35" t="s">
        <v>126</v>
      </c>
      <c r="B35" t="s">
        <v>127</v>
      </c>
      <c r="C35" t="s">
        <v>128</v>
      </c>
      <c r="D35" t="s">
        <v>128</v>
      </c>
      <c r="F35">
        <v>26.67</v>
      </c>
      <c r="H35">
        <v>66.67</v>
      </c>
      <c r="J35">
        <v>85</v>
      </c>
      <c r="L35">
        <v>55</v>
      </c>
      <c r="M35">
        <v>73.53</v>
      </c>
      <c r="N35">
        <v>85</v>
      </c>
      <c r="Q35" s="5"/>
      <c r="R35" s="5"/>
      <c r="S35">
        <f t="shared" ref="S35:S38" si="3">(SUM(F35:O35) )/8*0.15</f>
        <v>7.3475624999999996</v>
      </c>
      <c r="T35" s="6">
        <f t="shared" si="0"/>
        <v>7.3475624999999996</v>
      </c>
    </row>
    <row r="36" spans="1:20" x14ac:dyDescent="0.2">
      <c r="A36" t="s">
        <v>129</v>
      </c>
      <c r="B36" t="s">
        <v>130</v>
      </c>
      <c r="C36" t="s">
        <v>131</v>
      </c>
      <c r="D36" t="s">
        <v>131</v>
      </c>
      <c r="H36">
        <v>86.67</v>
      </c>
      <c r="N36">
        <v>72.5</v>
      </c>
      <c r="P36">
        <v>88</v>
      </c>
      <c r="Q36">
        <v>83.33</v>
      </c>
      <c r="R36">
        <v>32</v>
      </c>
      <c r="S36">
        <f t="shared" si="3"/>
        <v>2.9844375000000003</v>
      </c>
      <c r="T36" s="3">
        <f t="shared" si="0"/>
        <v>57.016937499999997</v>
      </c>
    </row>
    <row r="37" spans="1:20" x14ac:dyDescent="0.2">
      <c r="A37" t="s">
        <v>132</v>
      </c>
      <c r="B37" t="s">
        <v>132</v>
      </c>
      <c r="C37" t="s">
        <v>133</v>
      </c>
      <c r="D37" t="s">
        <v>134</v>
      </c>
      <c r="H37">
        <v>86.67</v>
      </c>
      <c r="J37">
        <v>91.75</v>
      </c>
      <c r="K37">
        <v>69.290000000000006</v>
      </c>
      <c r="L37">
        <v>92.5</v>
      </c>
      <c r="M37">
        <v>78.92</v>
      </c>
      <c r="P37">
        <v>78</v>
      </c>
      <c r="Q37">
        <v>86.67</v>
      </c>
      <c r="R37">
        <v>61</v>
      </c>
      <c r="S37">
        <f t="shared" si="3"/>
        <v>7.8586875000000003</v>
      </c>
      <c r="T37" s="3">
        <f t="shared" si="0"/>
        <v>70.3761875</v>
      </c>
    </row>
    <row r="38" spans="1:20" x14ac:dyDescent="0.2">
      <c r="A38" t="s">
        <v>135</v>
      </c>
      <c r="B38" t="s">
        <v>136</v>
      </c>
      <c r="C38" t="s">
        <v>137</v>
      </c>
      <c r="D38" t="s">
        <v>137</v>
      </c>
      <c r="F38">
        <v>66.67</v>
      </c>
      <c r="H38">
        <v>73.33</v>
      </c>
      <c r="I38">
        <v>81.67</v>
      </c>
      <c r="P38">
        <v>74</v>
      </c>
      <c r="Q38" s="5"/>
      <c r="R38" s="5"/>
      <c r="S38">
        <f t="shared" si="3"/>
        <v>4.1563125000000003</v>
      </c>
      <c r="T38" s="6">
        <f t="shared" si="0"/>
        <v>22.656312499999999</v>
      </c>
    </row>
    <row r="39" spans="1:20" x14ac:dyDescent="0.2">
      <c r="A39" t="s">
        <v>138</v>
      </c>
      <c r="B39" t="s">
        <v>139</v>
      </c>
      <c r="C39" t="s">
        <v>140</v>
      </c>
      <c r="D39" t="s">
        <v>140</v>
      </c>
      <c r="F39">
        <v>97.08</v>
      </c>
      <c r="G39">
        <v>80</v>
      </c>
      <c r="H39">
        <v>86.67</v>
      </c>
      <c r="I39">
        <v>86.67</v>
      </c>
      <c r="J39">
        <v>91.75</v>
      </c>
      <c r="K39">
        <v>100</v>
      </c>
      <c r="L39">
        <v>56.25</v>
      </c>
      <c r="M39">
        <v>70.099999999999994</v>
      </c>
      <c r="N39">
        <v>85</v>
      </c>
      <c r="O39">
        <v>78</v>
      </c>
      <c r="P39">
        <v>78</v>
      </c>
      <c r="Q39">
        <v>75</v>
      </c>
      <c r="R39">
        <v>56</v>
      </c>
      <c r="S39">
        <f t="shared" si="1"/>
        <v>13.221937500000001</v>
      </c>
      <c r="T39" s="3">
        <f t="shared" si="0"/>
        <v>71.07193749999999</v>
      </c>
    </row>
    <row r="40" spans="1:20" x14ac:dyDescent="0.2">
      <c r="A40" t="s">
        <v>141</v>
      </c>
      <c r="B40" t="s">
        <v>142</v>
      </c>
      <c r="C40" t="s">
        <v>143</v>
      </c>
      <c r="D40" t="s">
        <v>143</v>
      </c>
      <c r="F40">
        <v>81.67</v>
      </c>
      <c r="G40">
        <v>60</v>
      </c>
      <c r="I40">
        <v>90</v>
      </c>
      <c r="J40">
        <v>88.33</v>
      </c>
      <c r="K40">
        <v>97.14</v>
      </c>
      <c r="L40">
        <v>100</v>
      </c>
      <c r="M40">
        <v>84.8</v>
      </c>
      <c r="N40">
        <v>77.5</v>
      </c>
      <c r="O40">
        <v>83</v>
      </c>
      <c r="P40">
        <v>86</v>
      </c>
      <c r="Q40">
        <v>91.67</v>
      </c>
      <c r="R40">
        <v>68</v>
      </c>
      <c r="S40">
        <f t="shared" si="1"/>
        <v>11.717624999999998</v>
      </c>
      <c r="T40" s="3">
        <f t="shared" si="0"/>
        <v>79.935124999999999</v>
      </c>
    </row>
    <row r="41" spans="1:20" x14ac:dyDescent="0.2">
      <c r="A41" t="s">
        <v>144</v>
      </c>
      <c r="B41" t="s">
        <v>145</v>
      </c>
      <c r="C41" t="s">
        <v>146</v>
      </c>
      <c r="D41" t="s">
        <v>146</v>
      </c>
      <c r="F41">
        <v>75</v>
      </c>
      <c r="G41">
        <v>60</v>
      </c>
      <c r="H41">
        <v>86.67</v>
      </c>
      <c r="J41">
        <v>90</v>
      </c>
      <c r="K41">
        <v>97.14</v>
      </c>
      <c r="L41">
        <v>92.5</v>
      </c>
      <c r="M41">
        <v>90.2</v>
      </c>
      <c r="Q41">
        <v>88.33</v>
      </c>
      <c r="R41">
        <v>80</v>
      </c>
      <c r="S41">
        <f>(SUM(F41:O41) )/8*0.15</f>
        <v>11.0908125</v>
      </c>
      <c r="T41" s="3">
        <f t="shared" si="0"/>
        <v>61.173312499999994</v>
      </c>
    </row>
    <row r="42" spans="1:20" x14ac:dyDescent="0.2">
      <c r="A42" t="s">
        <v>147</v>
      </c>
      <c r="B42" t="s">
        <v>148</v>
      </c>
      <c r="C42" t="s">
        <v>149</v>
      </c>
      <c r="D42" t="s">
        <v>149</v>
      </c>
      <c r="F42">
        <v>76.67</v>
      </c>
      <c r="G42">
        <v>70</v>
      </c>
      <c r="H42">
        <v>93.33</v>
      </c>
      <c r="I42">
        <v>95</v>
      </c>
      <c r="J42">
        <v>85.5</v>
      </c>
      <c r="K42">
        <v>98.57</v>
      </c>
      <c r="N42">
        <v>85</v>
      </c>
      <c r="O42">
        <v>87.5</v>
      </c>
      <c r="P42">
        <v>82</v>
      </c>
      <c r="Q42">
        <v>48.33</v>
      </c>
      <c r="R42">
        <v>57</v>
      </c>
      <c r="S42">
        <f>(SUM(F42:O42))/8*0.15</f>
        <v>12.966937499999998</v>
      </c>
      <c r="T42" s="3">
        <f t="shared" si="0"/>
        <v>65.499437499999999</v>
      </c>
    </row>
    <row r="43" spans="1:20" x14ac:dyDescent="0.2">
      <c r="A43" t="s">
        <v>150</v>
      </c>
      <c r="B43" t="s">
        <v>151</v>
      </c>
      <c r="C43" t="s">
        <v>152</v>
      </c>
      <c r="D43" t="s">
        <v>153</v>
      </c>
      <c r="F43">
        <v>80.42</v>
      </c>
      <c r="G43">
        <v>75</v>
      </c>
      <c r="H43">
        <v>93.33</v>
      </c>
      <c r="I43">
        <v>91.25</v>
      </c>
      <c r="L43">
        <v>87.5</v>
      </c>
      <c r="M43">
        <v>87.26</v>
      </c>
      <c r="O43">
        <v>82.5</v>
      </c>
      <c r="P43">
        <v>82</v>
      </c>
      <c r="R43">
        <v>71</v>
      </c>
      <c r="S43">
        <f>(SUM(F43:O43))/8*0.15</f>
        <v>11.198625</v>
      </c>
      <c r="T43" s="3">
        <f t="shared" si="0"/>
        <v>56.548624999999994</v>
      </c>
    </row>
    <row r="44" spans="1:20" s="2" customFormat="1" x14ac:dyDescent="0.2">
      <c r="A44" s="2" t="s">
        <v>154</v>
      </c>
      <c r="B44" s="2" t="s">
        <v>155</v>
      </c>
      <c r="C44" s="2" t="s">
        <v>156</v>
      </c>
      <c r="D44" s="2" t="s">
        <v>156</v>
      </c>
      <c r="Q44" s="2">
        <v>26.67</v>
      </c>
      <c r="R44" s="5"/>
      <c r="S44"/>
      <c r="T44" s="6">
        <f t="shared" si="0"/>
        <v>6.6675000000000004</v>
      </c>
    </row>
    <row r="45" spans="1:20" x14ac:dyDescent="0.2">
      <c r="A45" t="s">
        <v>157</v>
      </c>
      <c r="B45" t="s">
        <v>158</v>
      </c>
      <c r="C45" t="s">
        <v>159</v>
      </c>
      <c r="D45" t="s">
        <v>160</v>
      </c>
      <c r="F45">
        <v>65</v>
      </c>
      <c r="G45">
        <v>40</v>
      </c>
      <c r="R45" s="5"/>
      <c r="S45">
        <f>(SUM(F45:O45) )/8*0.15</f>
        <v>1.96875</v>
      </c>
      <c r="T45" s="6">
        <f t="shared" si="0"/>
        <v>1.96875</v>
      </c>
    </row>
    <row r="46" spans="1:20" x14ac:dyDescent="0.2">
      <c r="A46" t="s">
        <v>161</v>
      </c>
      <c r="B46" t="s">
        <v>162</v>
      </c>
      <c r="C46" t="s">
        <v>163</v>
      </c>
      <c r="D46" t="s">
        <v>163</v>
      </c>
      <c r="G46">
        <v>55</v>
      </c>
      <c r="H46">
        <v>73.33</v>
      </c>
      <c r="L46">
        <v>80</v>
      </c>
      <c r="M46">
        <v>82.35</v>
      </c>
      <c r="P46">
        <v>78</v>
      </c>
      <c r="Q46">
        <v>90</v>
      </c>
      <c r="R46">
        <v>27</v>
      </c>
      <c r="S46">
        <f>(SUM(F46:O46) )/8*0.15</f>
        <v>5.4502499999999987</v>
      </c>
      <c r="T46" s="3">
        <f t="shared" si="0"/>
        <v>56.90025</v>
      </c>
    </row>
    <row r="47" spans="1:20" x14ac:dyDescent="0.2">
      <c r="A47" t="s">
        <v>164</v>
      </c>
      <c r="B47" t="s">
        <v>165</v>
      </c>
      <c r="C47" t="s">
        <v>166</v>
      </c>
      <c r="D47" t="s">
        <v>166</v>
      </c>
      <c r="F47">
        <v>60.42</v>
      </c>
      <c r="G47">
        <v>75</v>
      </c>
      <c r="H47">
        <v>100</v>
      </c>
      <c r="I47">
        <v>77.5</v>
      </c>
      <c r="J47">
        <v>82.5</v>
      </c>
      <c r="K47">
        <v>81.67</v>
      </c>
      <c r="L47">
        <v>85</v>
      </c>
      <c r="M47">
        <v>100</v>
      </c>
      <c r="N47">
        <v>97.5</v>
      </c>
      <c r="O47">
        <v>98</v>
      </c>
      <c r="P47">
        <v>74</v>
      </c>
      <c r="Q47">
        <v>93.33</v>
      </c>
      <c r="R47">
        <v>62</v>
      </c>
      <c r="S47">
        <f t="shared" si="1"/>
        <v>13.540687500000001</v>
      </c>
      <c r="T47" s="3">
        <f t="shared" si="0"/>
        <v>77.073187500000003</v>
      </c>
    </row>
    <row r="48" spans="1:20" x14ac:dyDescent="0.2">
      <c r="A48" t="s">
        <v>167</v>
      </c>
      <c r="B48" t="s">
        <v>168</v>
      </c>
      <c r="C48" t="s">
        <v>169</v>
      </c>
      <c r="D48" t="s">
        <v>169</v>
      </c>
      <c r="G48">
        <v>70</v>
      </c>
      <c r="H48">
        <v>93.33</v>
      </c>
      <c r="J48">
        <v>93</v>
      </c>
      <c r="K48">
        <v>97.14</v>
      </c>
      <c r="L48">
        <v>92.5</v>
      </c>
      <c r="M48">
        <v>78.92</v>
      </c>
      <c r="N48">
        <v>82.5</v>
      </c>
      <c r="O48">
        <v>95</v>
      </c>
      <c r="P48">
        <v>90</v>
      </c>
      <c r="Q48">
        <v>96.67</v>
      </c>
      <c r="R48">
        <v>54</v>
      </c>
      <c r="S48">
        <f>(SUM(F48:O48) )/8*0.15</f>
        <v>13.169812499999999</v>
      </c>
      <c r="T48" s="3">
        <f t="shared" si="0"/>
        <v>78.737312500000002</v>
      </c>
    </row>
    <row r="49" spans="1:20" x14ac:dyDescent="0.2">
      <c r="A49" t="s">
        <v>170</v>
      </c>
      <c r="B49" t="s">
        <v>171</v>
      </c>
      <c r="C49" t="s">
        <v>172</v>
      </c>
      <c r="D49" t="s">
        <v>172</v>
      </c>
      <c r="F49">
        <v>66.25</v>
      </c>
      <c r="G49">
        <v>75</v>
      </c>
      <c r="H49">
        <v>86.67</v>
      </c>
      <c r="J49">
        <v>95.25</v>
      </c>
      <c r="K49">
        <v>88.57</v>
      </c>
      <c r="L49">
        <v>90</v>
      </c>
      <c r="M49">
        <v>88.73</v>
      </c>
      <c r="P49">
        <v>82</v>
      </c>
      <c r="Q49">
        <v>90</v>
      </c>
      <c r="R49">
        <v>83</v>
      </c>
      <c r="S49">
        <f>(SUM(F49:O49) )/8*0.15</f>
        <v>11.071312499999999</v>
      </c>
      <c r="T49" s="3">
        <f t="shared" si="0"/>
        <v>83.121312500000002</v>
      </c>
    </row>
    <row r="50" spans="1:20" s="2" customFormat="1" x14ac:dyDescent="0.2">
      <c r="A50" s="2" t="s">
        <v>173</v>
      </c>
      <c r="B50" s="2" t="s">
        <v>174</v>
      </c>
      <c r="C50" s="2" t="s">
        <v>175</v>
      </c>
      <c r="D50" s="2" t="s">
        <v>175</v>
      </c>
      <c r="Q50" s="2">
        <v>28.33</v>
      </c>
      <c r="R50" s="5"/>
      <c r="S50"/>
      <c r="T50" s="6">
        <f t="shared" si="0"/>
        <v>7.0824999999999996</v>
      </c>
    </row>
    <row r="51" spans="1:20" x14ac:dyDescent="0.2">
      <c r="A51" t="s">
        <v>176</v>
      </c>
      <c r="B51" t="s">
        <v>177</v>
      </c>
      <c r="C51" t="s">
        <v>178</v>
      </c>
      <c r="D51" t="s">
        <v>178</v>
      </c>
      <c r="F51">
        <v>79.17</v>
      </c>
      <c r="G51">
        <v>55</v>
      </c>
      <c r="H51">
        <v>93.33</v>
      </c>
      <c r="I51">
        <v>86.67</v>
      </c>
      <c r="J51">
        <v>86.75</v>
      </c>
      <c r="K51">
        <v>75.709999999999994</v>
      </c>
      <c r="L51">
        <v>91.25</v>
      </c>
      <c r="M51">
        <v>82.84</v>
      </c>
      <c r="N51">
        <v>77.5</v>
      </c>
      <c r="O51">
        <v>85</v>
      </c>
      <c r="P51">
        <v>72</v>
      </c>
      <c r="Q51">
        <v>76.67</v>
      </c>
      <c r="R51">
        <v>84</v>
      </c>
      <c r="S51">
        <f t="shared" si="1"/>
        <v>12.797062499999999</v>
      </c>
      <c r="T51" s="3">
        <f t="shared" si="0"/>
        <v>79.364562499999991</v>
      </c>
    </row>
    <row r="52" spans="1:20" x14ac:dyDescent="0.2">
      <c r="A52" t="s">
        <v>179</v>
      </c>
      <c r="B52" t="s">
        <v>180</v>
      </c>
      <c r="C52" t="s">
        <v>181</v>
      </c>
      <c r="D52" t="s">
        <v>181</v>
      </c>
      <c r="F52">
        <v>5</v>
      </c>
      <c r="G52">
        <v>70</v>
      </c>
      <c r="H52">
        <v>86.67</v>
      </c>
      <c r="I52">
        <v>92.5</v>
      </c>
      <c r="J52">
        <v>98</v>
      </c>
      <c r="K52">
        <v>98.57</v>
      </c>
      <c r="L52">
        <v>92.5</v>
      </c>
      <c r="M52">
        <v>88.24</v>
      </c>
      <c r="N52">
        <v>92.5</v>
      </c>
      <c r="P52">
        <v>84</v>
      </c>
      <c r="Q52">
        <v>96.67</v>
      </c>
      <c r="R52">
        <v>75</v>
      </c>
      <c r="S52">
        <f>(SUM(F52:O52) - SMALL(F52:O52,1) )/8*0.15</f>
        <v>13.480874999999999</v>
      </c>
      <c r="T52" s="3">
        <f t="shared" si="0"/>
        <v>84.898375000000001</v>
      </c>
    </row>
    <row r="53" spans="1:20" x14ac:dyDescent="0.2">
      <c r="A53" t="s">
        <v>182</v>
      </c>
      <c r="B53" t="s">
        <v>183</v>
      </c>
      <c r="C53" t="s">
        <v>184</v>
      </c>
      <c r="D53" t="s">
        <v>185</v>
      </c>
      <c r="F53">
        <v>70.83</v>
      </c>
      <c r="G53">
        <v>45</v>
      </c>
      <c r="H53">
        <v>80</v>
      </c>
      <c r="J53">
        <v>75.5</v>
      </c>
      <c r="K53">
        <v>82.86</v>
      </c>
      <c r="L53">
        <v>67.5</v>
      </c>
      <c r="M53">
        <v>85.29</v>
      </c>
      <c r="N53">
        <v>82.5</v>
      </c>
      <c r="O53">
        <v>91</v>
      </c>
      <c r="P53">
        <v>88</v>
      </c>
      <c r="Q53">
        <v>85</v>
      </c>
      <c r="R53">
        <v>66</v>
      </c>
      <c r="S53">
        <f>(SUM(F53:O53) - SMALL(F53:O53,1) )/8*0.15</f>
        <v>11.91525</v>
      </c>
      <c r="T53" s="3">
        <f t="shared" si="0"/>
        <v>78.265249999999995</v>
      </c>
    </row>
    <row r="54" spans="1:20" x14ac:dyDescent="0.2">
      <c r="A54" t="s">
        <v>186</v>
      </c>
      <c r="B54" t="s">
        <v>187</v>
      </c>
      <c r="C54" t="s">
        <v>188</v>
      </c>
      <c r="D54" t="s">
        <v>188</v>
      </c>
      <c r="F54">
        <v>96.67</v>
      </c>
      <c r="G54">
        <v>65</v>
      </c>
      <c r="H54">
        <v>86.67</v>
      </c>
      <c r="I54">
        <v>89.17</v>
      </c>
      <c r="K54">
        <v>93.81</v>
      </c>
      <c r="L54">
        <v>85</v>
      </c>
      <c r="M54">
        <v>68.63</v>
      </c>
      <c r="N54">
        <v>75</v>
      </c>
      <c r="O54">
        <v>80.5</v>
      </c>
      <c r="P54">
        <v>84</v>
      </c>
      <c r="Q54">
        <v>88.33</v>
      </c>
      <c r="R54">
        <v>53</v>
      </c>
      <c r="S54">
        <f>(SUM(F54:O54) - SMALL(F54:O54,1) )/8*0.15</f>
        <v>12.664687500000001</v>
      </c>
      <c r="T54" s="3">
        <f t="shared" si="0"/>
        <v>74.297187499999993</v>
      </c>
    </row>
    <row r="55" spans="1:20" x14ac:dyDescent="0.2">
      <c r="A55" t="s">
        <v>189</v>
      </c>
      <c r="B55" t="s">
        <v>190</v>
      </c>
      <c r="C55" t="s">
        <v>191</v>
      </c>
      <c r="D55" t="s">
        <v>191</v>
      </c>
      <c r="F55">
        <v>100</v>
      </c>
      <c r="G55">
        <v>65</v>
      </c>
      <c r="H55">
        <v>86.67</v>
      </c>
      <c r="J55">
        <v>92.5</v>
      </c>
      <c r="K55">
        <v>93.57</v>
      </c>
      <c r="L55">
        <v>80</v>
      </c>
      <c r="M55">
        <v>89.22</v>
      </c>
      <c r="N55">
        <v>67.5</v>
      </c>
      <c r="P55">
        <v>92</v>
      </c>
      <c r="Q55">
        <v>93.33</v>
      </c>
      <c r="R55">
        <v>82</v>
      </c>
      <c r="S55">
        <f>(SUM(F55:O55))/8*0.15</f>
        <v>12.646125</v>
      </c>
      <c r="T55" s="3">
        <f t="shared" si="0"/>
        <v>87.678624999999997</v>
      </c>
    </row>
    <row r="56" spans="1:20" x14ac:dyDescent="0.2">
      <c r="A56" t="s">
        <v>192</v>
      </c>
      <c r="B56" t="s">
        <v>193</v>
      </c>
      <c r="C56" t="s">
        <v>194</v>
      </c>
      <c r="D56" t="s">
        <v>194</v>
      </c>
      <c r="F56">
        <v>88.33</v>
      </c>
      <c r="G56">
        <v>65</v>
      </c>
      <c r="H56">
        <v>86.67</v>
      </c>
      <c r="I56">
        <v>90.83</v>
      </c>
      <c r="J56">
        <v>96.5</v>
      </c>
      <c r="K56">
        <v>93.57</v>
      </c>
      <c r="L56">
        <v>90</v>
      </c>
      <c r="M56">
        <v>71.569999999999993</v>
      </c>
      <c r="N56">
        <v>77.5</v>
      </c>
      <c r="O56">
        <v>95</v>
      </c>
      <c r="P56">
        <v>88</v>
      </c>
      <c r="Q56">
        <v>93.33</v>
      </c>
      <c r="R56">
        <v>62</v>
      </c>
      <c r="S56">
        <f t="shared" si="1"/>
        <v>13.47</v>
      </c>
      <c r="T56" s="3">
        <f t="shared" si="0"/>
        <v>80.502499999999998</v>
      </c>
    </row>
    <row r="57" spans="1:20" x14ac:dyDescent="0.2">
      <c r="A57" t="s">
        <v>195</v>
      </c>
      <c r="B57" t="s">
        <v>196</v>
      </c>
      <c r="C57" t="s">
        <v>197</v>
      </c>
      <c r="D57" t="s">
        <v>198</v>
      </c>
      <c r="F57">
        <v>98.33</v>
      </c>
      <c r="G57">
        <v>65</v>
      </c>
      <c r="J57">
        <v>98</v>
      </c>
      <c r="K57">
        <v>98.57</v>
      </c>
      <c r="L57">
        <v>95</v>
      </c>
      <c r="M57">
        <v>90.2</v>
      </c>
      <c r="N57">
        <v>87.5</v>
      </c>
      <c r="P57">
        <v>82</v>
      </c>
      <c r="Q57">
        <v>88.33</v>
      </c>
      <c r="R57">
        <v>73</v>
      </c>
      <c r="S57">
        <f>(SUM(F57:O57) )/8*0.15</f>
        <v>11.86125</v>
      </c>
      <c r="T57" s="3">
        <f t="shared" si="0"/>
        <v>79.993749999999991</v>
      </c>
    </row>
    <row r="58" spans="1:20" s="2" customFormat="1" x14ac:dyDescent="0.2">
      <c r="A58" s="2" t="s">
        <v>199</v>
      </c>
      <c r="B58" s="2" t="s">
        <v>200</v>
      </c>
      <c r="C58" s="2" t="s">
        <v>201</v>
      </c>
      <c r="D58" s="2" t="s">
        <v>201</v>
      </c>
      <c r="F58" s="2">
        <v>81.67</v>
      </c>
      <c r="R58" s="5"/>
      <c r="S58">
        <f>(SUM(F58:O58) )/8*0.15</f>
        <v>1.5313125000000001</v>
      </c>
      <c r="T58" s="6">
        <f t="shared" si="0"/>
        <v>1.5313125000000001</v>
      </c>
    </row>
    <row r="59" spans="1:20" x14ac:dyDescent="0.2">
      <c r="A59" t="s">
        <v>202</v>
      </c>
      <c r="B59" t="s">
        <v>203</v>
      </c>
      <c r="C59" t="s">
        <v>204</v>
      </c>
      <c r="D59" t="s">
        <v>205</v>
      </c>
      <c r="F59">
        <v>95</v>
      </c>
      <c r="G59">
        <v>80</v>
      </c>
      <c r="J59">
        <v>98</v>
      </c>
      <c r="K59">
        <v>82.14</v>
      </c>
      <c r="L59">
        <v>76.25</v>
      </c>
      <c r="M59">
        <v>82.35</v>
      </c>
      <c r="P59">
        <v>84</v>
      </c>
      <c r="Q59">
        <v>93.33</v>
      </c>
      <c r="R59">
        <v>75</v>
      </c>
      <c r="S59">
        <f>(SUM(F59:O59) )/8*0.15</f>
        <v>9.6326249999999991</v>
      </c>
      <c r="T59" s="3">
        <f t="shared" si="0"/>
        <v>80.215125</v>
      </c>
    </row>
    <row r="60" spans="1:20" s="2" customFormat="1" x14ac:dyDescent="0.2">
      <c r="A60" s="2" t="s">
        <v>206</v>
      </c>
      <c r="B60" s="2" t="s">
        <v>207</v>
      </c>
      <c r="C60" s="2" t="s">
        <v>208</v>
      </c>
      <c r="D60" s="2" t="s">
        <v>208</v>
      </c>
      <c r="P60" s="2">
        <v>82</v>
      </c>
      <c r="R60" s="5"/>
      <c r="S60"/>
      <c r="T60" s="6">
        <f t="shared" si="0"/>
        <v>20.5</v>
      </c>
    </row>
    <row r="61" spans="1:20" x14ac:dyDescent="0.2">
      <c r="A61" t="s">
        <v>209</v>
      </c>
      <c r="B61" t="s">
        <v>210</v>
      </c>
      <c r="C61" t="s">
        <v>211</v>
      </c>
      <c r="D61" t="s">
        <v>211</v>
      </c>
      <c r="F61">
        <v>96.67</v>
      </c>
      <c r="G61">
        <v>75</v>
      </c>
      <c r="H61">
        <v>93.33</v>
      </c>
      <c r="J61">
        <v>82.5</v>
      </c>
      <c r="K61">
        <v>83.57</v>
      </c>
      <c r="L61">
        <v>87.5</v>
      </c>
      <c r="N61">
        <v>82.5</v>
      </c>
      <c r="O61">
        <v>87.5</v>
      </c>
      <c r="P61">
        <v>84</v>
      </c>
      <c r="Q61">
        <v>86.67</v>
      </c>
      <c r="R61">
        <v>73</v>
      </c>
      <c r="S61">
        <f>(SUM(F61:O61) )/8*0.15</f>
        <v>12.910687499999998</v>
      </c>
      <c r="T61" s="3">
        <f t="shared" si="0"/>
        <v>81.128187499999996</v>
      </c>
    </row>
    <row r="62" spans="1:20" x14ac:dyDescent="0.2">
      <c r="A62" t="s">
        <v>212</v>
      </c>
      <c r="B62" t="s">
        <v>213</v>
      </c>
      <c r="C62" t="s">
        <v>214</v>
      </c>
      <c r="D62" t="s">
        <v>214</v>
      </c>
      <c r="F62">
        <v>89.17</v>
      </c>
      <c r="G62">
        <v>80</v>
      </c>
      <c r="H62">
        <v>86.67</v>
      </c>
      <c r="I62">
        <v>85</v>
      </c>
      <c r="J62">
        <v>86.25</v>
      </c>
      <c r="K62">
        <v>98.57</v>
      </c>
      <c r="L62">
        <v>88.75</v>
      </c>
      <c r="M62">
        <v>85.78</v>
      </c>
      <c r="P62">
        <v>98</v>
      </c>
      <c r="Q62">
        <v>91.67</v>
      </c>
      <c r="R62">
        <v>75</v>
      </c>
      <c r="S62">
        <f>(SUM(F62:O62) )/8*0.15</f>
        <v>13.128562500000001</v>
      </c>
      <c r="T62" s="3">
        <f t="shared" si="0"/>
        <v>86.796062500000005</v>
      </c>
    </row>
    <row r="63" spans="1:20" x14ac:dyDescent="0.2">
      <c r="A63" t="s">
        <v>215</v>
      </c>
      <c r="B63" t="s">
        <v>216</v>
      </c>
      <c r="C63" t="s">
        <v>217</v>
      </c>
      <c r="D63" t="s">
        <v>217</v>
      </c>
      <c r="F63">
        <v>91.67</v>
      </c>
      <c r="G63">
        <v>80</v>
      </c>
      <c r="I63">
        <v>89.58</v>
      </c>
      <c r="J63">
        <v>91.5</v>
      </c>
      <c r="K63">
        <v>95.24</v>
      </c>
      <c r="L63">
        <v>95</v>
      </c>
      <c r="M63">
        <v>91.18</v>
      </c>
      <c r="N63">
        <v>82.5</v>
      </c>
      <c r="O63">
        <v>83</v>
      </c>
      <c r="P63">
        <v>94</v>
      </c>
      <c r="Q63">
        <v>90</v>
      </c>
      <c r="R63">
        <v>71</v>
      </c>
      <c r="S63">
        <f>(SUM(F63:O63) - SMALL(F63:O63,1) )/8*0.15</f>
        <v>13.493812500000001</v>
      </c>
      <c r="T63" s="3">
        <f t="shared" si="0"/>
        <v>84.343812499999999</v>
      </c>
    </row>
    <row r="64" spans="1:20" x14ac:dyDescent="0.2">
      <c r="A64" t="s">
        <v>218</v>
      </c>
      <c r="B64" t="s">
        <v>219</v>
      </c>
      <c r="C64" t="s">
        <v>220</v>
      </c>
      <c r="D64" t="s">
        <v>220</v>
      </c>
      <c r="F64">
        <v>87.08</v>
      </c>
      <c r="G64">
        <v>75</v>
      </c>
      <c r="H64">
        <v>80</v>
      </c>
      <c r="I64">
        <v>95.83</v>
      </c>
      <c r="J64">
        <v>89</v>
      </c>
      <c r="K64">
        <v>97.14</v>
      </c>
      <c r="L64">
        <v>72.5</v>
      </c>
      <c r="M64">
        <v>85.78</v>
      </c>
      <c r="N64">
        <v>97.5</v>
      </c>
      <c r="O64">
        <v>92.5</v>
      </c>
      <c r="P64">
        <v>74</v>
      </c>
      <c r="Q64">
        <v>90</v>
      </c>
      <c r="R64">
        <v>59</v>
      </c>
      <c r="S64">
        <f t="shared" si="1"/>
        <v>13.590562499999999</v>
      </c>
      <c r="T64" s="3">
        <f t="shared" si="0"/>
        <v>75.240562499999996</v>
      </c>
    </row>
    <row r="67" spans="20:20" x14ac:dyDescent="0.2">
      <c r="T67" s="3">
        <f>AVERAGE(T2:T64)</f>
        <v>62.766779761904758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AF40-D402-A94F-A190-EADF4363568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Detailed_Quiz_Results (4)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Muhebullah Karimzada</cp:lastModifiedBy>
  <dcterms:created xsi:type="dcterms:W3CDTF">2025-04-17T20:32:21Z</dcterms:created>
  <dcterms:modified xsi:type="dcterms:W3CDTF">2025-04-23T22:09:25Z</dcterms:modified>
</cp:coreProperties>
</file>