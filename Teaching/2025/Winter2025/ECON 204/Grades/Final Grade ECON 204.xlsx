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204/Grades/"/>
    </mc:Choice>
  </mc:AlternateContent>
  <xr:revisionPtr revIDLastSave="0" documentId="13_ncr:11_{818E5661-C3AC-2C4C-89D4-ACC1B65F2DA1}" xr6:coauthVersionLast="47" xr6:coauthVersionMax="47" xr10:uidLastSave="{00000000-0000-0000-0000-000000000000}"/>
  <bookViews>
    <workbookView xWindow="140" yWindow="660" windowWidth="28500" windowHeight="17200" xr2:uid="{CEA26C61-8201-1541-9EB3-78D5B0B1DA2E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5" i="1"/>
  <c r="K26" i="1"/>
  <c r="K27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6" i="1"/>
  <c r="G27" i="1"/>
  <c r="G2" i="1"/>
  <c r="I3" i="1"/>
  <c r="I4" i="1"/>
  <c r="I5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5" i="1"/>
  <c r="I26" i="1"/>
  <c r="I27" i="1"/>
  <c r="I2" i="1"/>
</calcChain>
</file>

<file path=xl/sharedStrings.xml><?xml version="1.0" encoding="utf-8"?>
<sst xmlns="http://schemas.openxmlformats.org/spreadsheetml/2006/main" count="115" uniqueCount="114">
  <si>
    <t>First name</t>
  </si>
  <si>
    <t>Last name</t>
  </si>
  <si>
    <t>ID number</t>
  </si>
  <si>
    <t>Email address</t>
  </si>
  <si>
    <t>Caleb Panneerdas</t>
  </si>
  <si>
    <t>Andrew Mohan</t>
  </si>
  <si>
    <t>230158173</t>
  </si>
  <si>
    <t>andrew@unbc.ca</t>
  </si>
  <si>
    <t>Vedant Rajesh</t>
  </si>
  <si>
    <t>Angre</t>
  </si>
  <si>
    <t>230153646</t>
  </si>
  <si>
    <t>angre@unbc.ca</t>
  </si>
  <si>
    <t>Noopur Tusharbhai</t>
  </si>
  <si>
    <t>Ariwala</t>
  </si>
  <si>
    <t>230154166</t>
  </si>
  <si>
    <t>ariwala@unbc.ca</t>
  </si>
  <si>
    <t>Amrita</t>
  </si>
  <si>
    <t>Billing</t>
  </si>
  <si>
    <t>230150290</t>
  </si>
  <si>
    <t>billing0@unbc.ca</t>
  </si>
  <si>
    <t>Shay</t>
  </si>
  <si>
    <t>Cameron</t>
  </si>
  <si>
    <t>230162117</t>
  </si>
  <si>
    <t>scameron@unbc.ca</t>
  </si>
  <si>
    <t>Harshil</t>
  </si>
  <si>
    <t>Dattani</t>
  </si>
  <si>
    <t>230162869</t>
  </si>
  <si>
    <t>dattani@unbc.ca</t>
  </si>
  <si>
    <t>Paul</t>
  </si>
  <si>
    <t>Escarez</t>
  </si>
  <si>
    <t>230159926</t>
  </si>
  <si>
    <t>escarez@unbc.ca</t>
  </si>
  <si>
    <t>Yuvrajh</t>
  </si>
  <si>
    <t>Godara</t>
  </si>
  <si>
    <t>230162355</t>
  </si>
  <si>
    <t>godara@unbc.ca</t>
  </si>
  <si>
    <t>Jessica</t>
  </si>
  <si>
    <t>Hainstock</t>
  </si>
  <si>
    <t>230151777</t>
  </si>
  <si>
    <t>hainstock@unbc.ca</t>
  </si>
  <si>
    <t>.</t>
  </si>
  <si>
    <t>Harshika</t>
  </si>
  <si>
    <t>230154436</t>
  </si>
  <si>
    <t>harshika@unbc.ca</t>
  </si>
  <si>
    <t>Daniel</t>
  </si>
  <si>
    <t>Jenniss</t>
  </si>
  <si>
    <t>230161998</t>
  </si>
  <si>
    <t>djenniss@unbc.ca</t>
  </si>
  <si>
    <t>Ransford</t>
  </si>
  <si>
    <t>Kuuyuor</t>
  </si>
  <si>
    <t>230155875</t>
  </si>
  <si>
    <t>kuuyuor@unbc.ca</t>
  </si>
  <si>
    <t>Amaan</t>
  </si>
  <si>
    <t>Merchant</t>
  </si>
  <si>
    <t>230155658</t>
  </si>
  <si>
    <t>merchanta@unbc.ca</t>
  </si>
  <si>
    <t>Ashley</t>
  </si>
  <si>
    <t>Miller</t>
  </si>
  <si>
    <t>230150592</t>
  </si>
  <si>
    <t>amiller2@unbc.ca</t>
  </si>
  <si>
    <t>Durva Rakeshkumar</t>
  </si>
  <si>
    <t>Parmar</t>
  </si>
  <si>
    <t>230153135</t>
  </si>
  <si>
    <t>dparmar@unbc.ca</t>
  </si>
  <si>
    <t>Peng</t>
  </si>
  <si>
    <t>230140411</t>
  </si>
  <si>
    <t>rpeng@unbc.ca</t>
  </si>
  <si>
    <t>Nyagoa</t>
  </si>
  <si>
    <t>Peter</t>
  </si>
  <si>
    <t>230148805</t>
  </si>
  <si>
    <t>npeter@unbc.ca</t>
  </si>
  <si>
    <t>Alina</t>
  </si>
  <si>
    <t>Rattanshi</t>
  </si>
  <si>
    <t>230158231</t>
  </si>
  <si>
    <t>rattanshi@unbc.ca</t>
  </si>
  <si>
    <t>Habie</t>
  </si>
  <si>
    <t>Sajeev Parakkattu</t>
  </si>
  <si>
    <t>230144594</t>
  </si>
  <si>
    <t>parakkatt@unbc.ca</t>
  </si>
  <si>
    <t>Nakhshahtra</t>
  </si>
  <si>
    <t>Shah</t>
  </si>
  <si>
    <t>230159947</t>
  </si>
  <si>
    <t>shahn2@unbc.ca</t>
  </si>
  <si>
    <t>Ankitpreet</t>
  </si>
  <si>
    <t>Singh</t>
  </si>
  <si>
    <t>230163188</t>
  </si>
  <si>
    <t>asingh15@unbc.ca</t>
  </si>
  <si>
    <t>Ashwin</t>
  </si>
  <si>
    <t>Sreekant Panicker</t>
  </si>
  <si>
    <t>230159948</t>
  </si>
  <si>
    <t>sreekant@unbc.ca</t>
  </si>
  <si>
    <t>Karthikeyan</t>
  </si>
  <si>
    <t>Sundaravelu</t>
  </si>
  <si>
    <t>230163652</t>
  </si>
  <si>
    <t>sundarave@unbc.ca</t>
  </si>
  <si>
    <t>Amneet</t>
  </si>
  <si>
    <t>Toor</t>
  </si>
  <si>
    <t>230158276</t>
  </si>
  <si>
    <t>toor2@unbc.ca</t>
  </si>
  <si>
    <t>Denna</t>
  </si>
  <si>
    <t>Valcourt</t>
  </si>
  <si>
    <t>230167235</t>
  </si>
  <si>
    <t>dvalcourt@unbc.ca</t>
  </si>
  <si>
    <t>Suhana</t>
  </si>
  <si>
    <t>Vasaya</t>
  </si>
  <si>
    <t>230156011</t>
  </si>
  <si>
    <t>vasaya@unbc.ca</t>
  </si>
  <si>
    <t>MT1</t>
  </si>
  <si>
    <t>FE 95</t>
  </si>
  <si>
    <t>FE 100</t>
  </si>
  <si>
    <t>MT2 10</t>
  </si>
  <si>
    <t>MT 2 100</t>
  </si>
  <si>
    <t>Final Project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</si>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</sst>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0" fontId="0" fillId="2" borderId="0" xfId="0" applyFill="1"/>
    <xf numFmtId="164" fontId="0" fillId="2" borderId="0" xfId="0" applyNumberFormat="1" applyFill="1" applyAlignment="1">
      <alignment horizontal="left"/>
    </xf>
    <xf numFmtId="1" fontId="0" fillId="0" borderId="0" xfId="0" applyNumberFormat="1"/>
  </cellXfs>
  <cellStyles count="5">
    <cellStyle name="Heading" xfId="1" xr:uid="{381E8CE1-5A4B-A24F-A8C1-A2CBA88EF8EF}"/>
    <cellStyle name="Heading1" xfId="2" xr:uid="{603CAB03-E7CF-984A-A18A-8D1BFF871206}"/>
    <cellStyle name="Normal" xfId="0" builtinId="0" customBuiltin="1"/>
    <cellStyle name="Result" xfId="3" xr:uid="{148A2611-7001-FD4F-9A09-19589E0BAEDB}"/>
    <cellStyle name="Result2" xfId="4" xr:uid="{253D375F-4688-4F43-B4C0-E2DE8BD270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16D3-DBE8-574E-BF82-3E84FCDE0C70}">
  <dimension ref="A1:K29"/>
  <sheetViews>
    <sheetView tabSelected="1" workbookViewId="0">
      <selection activeCell="K32" sqref="K32"/>
    </sheetView>
  </sheetViews>
  <sheetFormatPr baseColWidth="10" defaultRowHeight="18" x14ac:dyDescent="0.25"/>
  <cols>
    <col min="4" max="4" width="17.85546875" customWidth="1"/>
    <col min="5" max="5" width="6.28515625" customWidth="1"/>
    <col min="6" max="6" width="7.28515625" customWidth="1"/>
    <col min="7" max="7" width="8.140625" customWidth="1"/>
    <col min="8" max="8" width="6.7109375" customWidth="1"/>
    <col min="9" max="9" width="7" customWidth="1"/>
    <col min="10" max="10" width="10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107</v>
      </c>
      <c r="F1" t="s">
        <v>110</v>
      </c>
      <c r="G1" t="s">
        <v>111</v>
      </c>
      <c r="H1" t="s">
        <v>108</v>
      </c>
      <c r="I1" t="s">
        <v>109</v>
      </c>
      <c r="J1" t="s">
        <v>112</v>
      </c>
      <c r="K1" t="s">
        <v>113</v>
      </c>
    </row>
    <row r="2" spans="1:11" x14ac:dyDescent="0.25">
      <c r="A2" t="s">
        <v>4</v>
      </c>
      <c r="B2" t="s">
        <v>5</v>
      </c>
      <c r="C2" t="s">
        <v>6</v>
      </c>
      <c r="D2" t="s">
        <v>7</v>
      </c>
      <c r="E2">
        <v>84.62</v>
      </c>
      <c r="F2">
        <v>7.6</v>
      </c>
      <c r="G2">
        <f>F2*10</f>
        <v>76</v>
      </c>
      <c r="H2">
        <v>66</v>
      </c>
      <c r="I2" s="1">
        <f>H2/95*100</f>
        <v>69.473684210526315</v>
      </c>
      <c r="J2">
        <v>15</v>
      </c>
      <c r="K2" s="4">
        <f>E2*0.15+G2*0.15+I2*0.4+J2*0.3</f>
        <v>56.382473684210524</v>
      </c>
    </row>
    <row r="3" spans="1:11" x14ac:dyDescent="0.25">
      <c r="A3" t="s">
        <v>8</v>
      </c>
      <c r="B3" t="s">
        <v>9</v>
      </c>
      <c r="C3" t="s">
        <v>10</v>
      </c>
      <c r="D3" t="s">
        <v>11</v>
      </c>
      <c r="E3">
        <v>87.18</v>
      </c>
      <c r="F3">
        <v>8.6</v>
      </c>
      <c r="G3">
        <f t="shared" ref="G3:G27" si="0">F3*10</f>
        <v>86</v>
      </c>
      <c r="H3">
        <v>74</v>
      </c>
      <c r="I3" s="1">
        <f t="shared" ref="I3:I27" si="1">H3/95*100</f>
        <v>77.89473684210526</v>
      </c>
      <c r="J3">
        <v>62</v>
      </c>
      <c r="K3" s="4">
        <f t="shared" ref="K3:K27" si="2">E3*0.15+G3*0.15+I3*0.4+J3*0.3</f>
        <v>75.734894736842108</v>
      </c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>
        <v>87.18</v>
      </c>
      <c r="F4">
        <v>9.1999999999999993</v>
      </c>
      <c r="G4">
        <f t="shared" si="0"/>
        <v>92</v>
      </c>
      <c r="H4">
        <v>64</v>
      </c>
      <c r="I4" s="1">
        <f t="shared" si="1"/>
        <v>67.368421052631575</v>
      </c>
      <c r="J4">
        <v>58</v>
      </c>
      <c r="K4" s="4">
        <f t="shared" si="2"/>
        <v>71.224368421052617</v>
      </c>
    </row>
    <row r="5" spans="1:11" x14ac:dyDescent="0.25">
      <c r="A5" t="s">
        <v>16</v>
      </c>
      <c r="B5" t="s">
        <v>17</v>
      </c>
      <c r="C5" t="s">
        <v>18</v>
      </c>
      <c r="D5" t="s">
        <v>19</v>
      </c>
      <c r="E5">
        <v>87.18</v>
      </c>
      <c r="F5">
        <v>8.1999999999999993</v>
      </c>
      <c r="G5">
        <f t="shared" si="0"/>
        <v>82</v>
      </c>
      <c r="H5">
        <v>60</v>
      </c>
      <c r="I5" s="1">
        <f t="shared" si="1"/>
        <v>63.157894736842103</v>
      </c>
      <c r="J5">
        <v>84</v>
      </c>
      <c r="K5" s="4">
        <f t="shared" si="2"/>
        <v>75.840157894736848</v>
      </c>
    </row>
    <row r="6" spans="1:11" x14ac:dyDescent="0.25">
      <c r="A6" t="s">
        <v>20</v>
      </c>
      <c r="B6" t="s">
        <v>21</v>
      </c>
      <c r="C6" t="s">
        <v>22</v>
      </c>
      <c r="D6" t="s">
        <v>23</v>
      </c>
      <c r="E6" s="2"/>
      <c r="F6">
        <v>5.8</v>
      </c>
      <c r="G6">
        <f t="shared" si="0"/>
        <v>58</v>
      </c>
      <c r="H6" s="2"/>
      <c r="I6" s="3"/>
      <c r="J6">
        <v>15</v>
      </c>
      <c r="K6" s="4">
        <f t="shared" si="2"/>
        <v>13.2</v>
      </c>
    </row>
    <row r="7" spans="1:11" x14ac:dyDescent="0.25">
      <c r="A7" t="s">
        <v>24</v>
      </c>
      <c r="B7" t="s">
        <v>25</v>
      </c>
      <c r="C7" t="s">
        <v>26</v>
      </c>
      <c r="D7" t="s">
        <v>27</v>
      </c>
      <c r="E7">
        <v>97.44</v>
      </c>
      <c r="F7">
        <v>8.4</v>
      </c>
      <c r="G7">
        <f t="shared" si="0"/>
        <v>84</v>
      </c>
      <c r="H7">
        <v>69</v>
      </c>
      <c r="I7" s="1">
        <f t="shared" si="1"/>
        <v>72.631578947368425</v>
      </c>
      <c r="J7">
        <v>64</v>
      </c>
      <c r="K7" s="4">
        <f t="shared" si="2"/>
        <v>75.468631578947367</v>
      </c>
    </row>
    <row r="8" spans="1:11" x14ac:dyDescent="0.25">
      <c r="A8" t="s">
        <v>28</v>
      </c>
      <c r="B8" t="s">
        <v>29</v>
      </c>
      <c r="C8" t="s">
        <v>30</v>
      </c>
      <c r="D8" t="s">
        <v>31</v>
      </c>
      <c r="E8">
        <v>66.67</v>
      </c>
      <c r="F8">
        <v>5.4</v>
      </c>
      <c r="G8">
        <f t="shared" si="0"/>
        <v>54</v>
      </c>
      <c r="H8">
        <v>49</v>
      </c>
      <c r="I8" s="1">
        <f t="shared" si="1"/>
        <v>51.578947368421055</v>
      </c>
      <c r="J8">
        <v>83</v>
      </c>
      <c r="K8" s="4">
        <f t="shared" si="2"/>
        <v>63.63207894736842</v>
      </c>
    </row>
    <row r="9" spans="1:11" x14ac:dyDescent="0.25">
      <c r="A9" t="s">
        <v>32</v>
      </c>
      <c r="B9" t="s">
        <v>33</v>
      </c>
      <c r="C9" t="s">
        <v>34</v>
      </c>
      <c r="D9" t="s">
        <v>35</v>
      </c>
      <c r="E9">
        <v>97.44</v>
      </c>
      <c r="F9">
        <v>8.6</v>
      </c>
      <c r="G9">
        <f t="shared" si="0"/>
        <v>86</v>
      </c>
      <c r="H9">
        <v>63</v>
      </c>
      <c r="I9" s="1">
        <f t="shared" si="1"/>
        <v>66.315789473684205</v>
      </c>
      <c r="J9">
        <v>71</v>
      </c>
      <c r="K9" s="4">
        <f t="shared" si="2"/>
        <v>75.342315789473687</v>
      </c>
    </row>
    <row r="10" spans="1:11" x14ac:dyDescent="0.25">
      <c r="A10" t="s">
        <v>36</v>
      </c>
      <c r="B10" t="s">
        <v>37</v>
      </c>
      <c r="C10" t="s">
        <v>38</v>
      </c>
      <c r="D10" t="s">
        <v>39</v>
      </c>
      <c r="E10">
        <v>97.44</v>
      </c>
      <c r="F10">
        <v>9.1999999999999993</v>
      </c>
      <c r="G10">
        <f t="shared" si="0"/>
        <v>92</v>
      </c>
      <c r="H10">
        <v>89</v>
      </c>
      <c r="I10" s="1">
        <f t="shared" si="1"/>
        <v>93.684210526315795</v>
      </c>
      <c r="J10">
        <v>88</v>
      </c>
      <c r="K10" s="4">
        <f t="shared" si="2"/>
        <v>92.289684210526332</v>
      </c>
    </row>
    <row r="11" spans="1:11" x14ac:dyDescent="0.25">
      <c r="A11" t="s">
        <v>40</v>
      </c>
      <c r="B11" t="s">
        <v>41</v>
      </c>
      <c r="C11" t="s">
        <v>42</v>
      </c>
      <c r="D11" t="s">
        <v>43</v>
      </c>
      <c r="E11">
        <v>94.87</v>
      </c>
      <c r="F11">
        <v>8.6</v>
      </c>
      <c r="G11">
        <f t="shared" si="0"/>
        <v>86</v>
      </c>
      <c r="H11">
        <v>78</v>
      </c>
      <c r="I11" s="1">
        <f t="shared" si="1"/>
        <v>82.10526315789474</v>
      </c>
      <c r="J11">
        <v>93</v>
      </c>
      <c r="K11" s="4">
        <f t="shared" si="2"/>
        <v>87.872605263157908</v>
      </c>
    </row>
    <row r="12" spans="1:11" x14ac:dyDescent="0.25">
      <c r="A12" t="s">
        <v>44</v>
      </c>
      <c r="B12" t="s">
        <v>45</v>
      </c>
      <c r="C12" t="s">
        <v>46</v>
      </c>
      <c r="D12" t="s">
        <v>47</v>
      </c>
      <c r="E12">
        <v>89.74</v>
      </c>
      <c r="F12">
        <v>8.6</v>
      </c>
      <c r="G12">
        <f t="shared" si="0"/>
        <v>86</v>
      </c>
      <c r="H12">
        <v>84</v>
      </c>
      <c r="I12" s="1">
        <f t="shared" si="1"/>
        <v>88.421052631578945</v>
      </c>
      <c r="J12">
        <v>88</v>
      </c>
      <c r="K12" s="4">
        <f t="shared" si="2"/>
        <v>88.129421052631585</v>
      </c>
    </row>
    <row r="13" spans="1:11" x14ac:dyDescent="0.25">
      <c r="A13" t="s">
        <v>48</v>
      </c>
      <c r="B13" t="s">
        <v>49</v>
      </c>
      <c r="C13" t="s">
        <v>50</v>
      </c>
      <c r="D13" t="s">
        <v>51</v>
      </c>
      <c r="E13">
        <v>94.87</v>
      </c>
      <c r="F13">
        <v>8</v>
      </c>
      <c r="G13">
        <f t="shared" si="0"/>
        <v>80</v>
      </c>
      <c r="H13">
        <v>54</v>
      </c>
      <c r="I13" s="1">
        <f t="shared" si="1"/>
        <v>56.84210526315789</v>
      </c>
      <c r="J13">
        <v>83</v>
      </c>
      <c r="K13" s="4">
        <f t="shared" si="2"/>
        <v>73.867342105263162</v>
      </c>
    </row>
    <row r="14" spans="1:11" x14ac:dyDescent="0.25">
      <c r="A14" t="s">
        <v>52</v>
      </c>
      <c r="B14" t="s">
        <v>53</v>
      </c>
      <c r="C14" t="s">
        <v>54</v>
      </c>
      <c r="D14" t="s">
        <v>55</v>
      </c>
      <c r="E14">
        <v>92.31</v>
      </c>
      <c r="F14">
        <v>8.4</v>
      </c>
      <c r="G14">
        <f t="shared" si="0"/>
        <v>84</v>
      </c>
      <c r="H14">
        <v>64</v>
      </c>
      <c r="I14" s="1">
        <f t="shared" si="1"/>
        <v>67.368421052631575</v>
      </c>
      <c r="J14">
        <v>53</v>
      </c>
      <c r="K14" s="4">
        <f t="shared" si="2"/>
        <v>69.293868421052622</v>
      </c>
    </row>
    <row r="15" spans="1:11" x14ac:dyDescent="0.25">
      <c r="A15" t="s">
        <v>56</v>
      </c>
      <c r="B15" t="s">
        <v>57</v>
      </c>
      <c r="C15" t="s">
        <v>58</v>
      </c>
      <c r="D15" t="s">
        <v>59</v>
      </c>
      <c r="E15">
        <v>74.36</v>
      </c>
      <c r="F15">
        <v>8.6</v>
      </c>
      <c r="G15">
        <f t="shared" si="0"/>
        <v>86</v>
      </c>
      <c r="H15">
        <v>79</v>
      </c>
      <c r="I15" s="1">
        <f t="shared" si="1"/>
        <v>83.15789473684211</v>
      </c>
      <c r="J15">
        <v>94</v>
      </c>
      <c r="K15" s="4">
        <f t="shared" si="2"/>
        <v>85.51715789473684</v>
      </c>
    </row>
    <row r="16" spans="1:11" x14ac:dyDescent="0.25">
      <c r="A16" t="s">
        <v>60</v>
      </c>
      <c r="B16" t="s">
        <v>61</v>
      </c>
      <c r="C16" t="s">
        <v>62</v>
      </c>
      <c r="D16" t="s">
        <v>63</v>
      </c>
      <c r="E16">
        <v>92.31</v>
      </c>
      <c r="F16">
        <v>8.6</v>
      </c>
      <c r="G16">
        <f t="shared" si="0"/>
        <v>86</v>
      </c>
      <c r="H16">
        <v>50</v>
      </c>
      <c r="I16" s="1">
        <f t="shared" si="1"/>
        <v>52.631578947368418</v>
      </c>
      <c r="J16">
        <v>73</v>
      </c>
      <c r="K16" s="4">
        <f t="shared" si="2"/>
        <v>69.699131578947373</v>
      </c>
    </row>
    <row r="17" spans="1:11" x14ac:dyDescent="0.25">
      <c r="A17" t="s">
        <v>28</v>
      </c>
      <c r="B17" t="s">
        <v>64</v>
      </c>
      <c r="C17" t="s">
        <v>65</v>
      </c>
      <c r="D17" t="s">
        <v>66</v>
      </c>
      <c r="E17">
        <v>94.87</v>
      </c>
      <c r="F17">
        <v>8</v>
      </c>
      <c r="G17">
        <f t="shared" si="0"/>
        <v>80</v>
      </c>
      <c r="H17">
        <v>74</v>
      </c>
      <c r="I17" s="1">
        <f t="shared" si="1"/>
        <v>77.89473684210526</v>
      </c>
      <c r="J17">
        <v>64</v>
      </c>
      <c r="K17" s="4">
        <f t="shared" si="2"/>
        <v>76.588394736842105</v>
      </c>
    </row>
    <row r="18" spans="1:11" x14ac:dyDescent="0.25">
      <c r="A18" t="s">
        <v>67</v>
      </c>
      <c r="B18" t="s">
        <v>68</v>
      </c>
      <c r="C18" t="s">
        <v>69</v>
      </c>
      <c r="D18" t="s">
        <v>70</v>
      </c>
      <c r="E18">
        <v>92.31</v>
      </c>
      <c r="F18">
        <v>8.1999999999999993</v>
      </c>
      <c r="G18">
        <f t="shared" si="0"/>
        <v>82</v>
      </c>
      <c r="H18">
        <v>54</v>
      </c>
      <c r="I18" s="1">
        <f t="shared" si="1"/>
        <v>56.84210526315789</v>
      </c>
      <c r="J18">
        <v>88</v>
      </c>
      <c r="K18" s="4">
        <f t="shared" si="2"/>
        <v>75.283342105263159</v>
      </c>
    </row>
    <row r="19" spans="1:11" x14ac:dyDescent="0.25">
      <c r="A19" t="s">
        <v>71</v>
      </c>
      <c r="B19" t="s">
        <v>72</v>
      </c>
      <c r="C19" t="s">
        <v>73</v>
      </c>
      <c r="D19" t="s">
        <v>74</v>
      </c>
      <c r="E19">
        <v>94.87</v>
      </c>
      <c r="F19">
        <v>8.4</v>
      </c>
      <c r="G19">
        <f t="shared" si="0"/>
        <v>84</v>
      </c>
      <c r="I19" s="1">
        <v>82</v>
      </c>
      <c r="J19">
        <v>53</v>
      </c>
      <c r="K19" s="4">
        <f t="shared" si="2"/>
        <v>75.530500000000004</v>
      </c>
    </row>
    <row r="20" spans="1:11" x14ac:dyDescent="0.25">
      <c r="A20" t="s">
        <v>75</v>
      </c>
      <c r="B20" t="s">
        <v>76</v>
      </c>
      <c r="C20" t="s">
        <v>77</v>
      </c>
      <c r="D20" t="s">
        <v>78</v>
      </c>
      <c r="E20">
        <v>94.87</v>
      </c>
      <c r="F20">
        <v>9.6</v>
      </c>
      <c r="G20">
        <f t="shared" si="0"/>
        <v>96</v>
      </c>
      <c r="H20">
        <v>66</v>
      </c>
      <c r="I20" s="1">
        <f t="shared" si="1"/>
        <v>69.473684210526315</v>
      </c>
      <c r="J20">
        <v>58</v>
      </c>
      <c r="K20" s="4">
        <f t="shared" si="2"/>
        <v>73.819973684210524</v>
      </c>
    </row>
    <row r="21" spans="1:11" x14ac:dyDescent="0.25">
      <c r="A21" t="s">
        <v>79</v>
      </c>
      <c r="B21" t="s">
        <v>80</v>
      </c>
      <c r="C21" t="s">
        <v>81</v>
      </c>
      <c r="D21" t="s">
        <v>82</v>
      </c>
      <c r="E21" s="2"/>
      <c r="F21">
        <v>9</v>
      </c>
      <c r="G21">
        <f t="shared" si="0"/>
        <v>90</v>
      </c>
      <c r="H21">
        <v>58</v>
      </c>
      <c r="I21" s="1">
        <f t="shared" si="1"/>
        <v>61.05263157894737</v>
      </c>
      <c r="J21">
        <v>0</v>
      </c>
      <c r="K21" s="4">
        <f t="shared" si="2"/>
        <v>37.921052631578945</v>
      </c>
    </row>
    <row r="22" spans="1:11" x14ac:dyDescent="0.25">
      <c r="A22" t="s">
        <v>83</v>
      </c>
      <c r="B22" t="s">
        <v>84</v>
      </c>
      <c r="C22" t="s">
        <v>85</v>
      </c>
      <c r="D22" t="s">
        <v>86</v>
      </c>
      <c r="E22">
        <v>94.87</v>
      </c>
      <c r="F22">
        <v>7.6</v>
      </c>
      <c r="G22">
        <f t="shared" si="0"/>
        <v>76</v>
      </c>
      <c r="H22">
        <v>53</v>
      </c>
      <c r="I22" s="1">
        <f t="shared" si="1"/>
        <v>55.78947368421052</v>
      </c>
      <c r="J22">
        <v>55</v>
      </c>
      <c r="K22" s="4">
        <f t="shared" si="2"/>
        <v>64.446289473684203</v>
      </c>
    </row>
    <row r="23" spans="1:11" x14ac:dyDescent="0.25">
      <c r="A23" t="s">
        <v>87</v>
      </c>
      <c r="B23" t="s">
        <v>88</v>
      </c>
      <c r="C23" t="s">
        <v>89</v>
      </c>
      <c r="D23" t="s">
        <v>90</v>
      </c>
      <c r="E23" s="2"/>
      <c r="F23">
        <v>8.4</v>
      </c>
      <c r="G23">
        <f t="shared" si="0"/>
        <v>84</v>
      </c>
      <c r="H23">
        <v>38</v>
      </c>
      <c r="I23" s="1">
        <f t="shared" si="1"/>
        <v>40</v>
      </c>
      <c r="J23">
        <v>15</v>
      </c>
      <c r="K23" s="4">
        <f t="shared" si="2"/>
        <v>33.1</v>
      </c>
    </row>
    <row r="24" spans="1:11" x14ac:dyDescent="0.25">
      <c r="A24" t="s">
        <v>91</v>
      </c>
      <c r="B24" t="s">
        <v>92</v>
      </c>
      <c r="C24" t="s">
        <v>93</v>
      </c>
      <c r="D24" t="s">
        <v>94</v>
      </c>
      <c r="E24" s="2"/>
      <c r="F24" s="2"/>
      <c r="G24" s="2"/>
      <c r="H24" s="2"/>
      <c r="I24" s="3"/>
      <c r="J24">
        <v>0</v>
      </c>
      <c r="K24" s="4">
        <v>0</v>
      </c>
    </row>
    <row r="25" spans="1:11" x14ac:dyDescent="0.25">
      <c r="A25" t="s">
        <v>95</v>
      </c>
      <c r="B25" t="s">
        <v>96</v>
      </c>
      <c r="C25" t="s">
        <v>97</v>
      </c>
      <c r="D25" t="s">
        <v>98</v>
      </c>
      <c r="E25">
        <v>89.74</v>
      </c>
      <c r="F25">
        <v>7.2</v>
      </c>
      <c r="G25">
        <f t="shared" si="0"/>
        <v>72</v>
      </c>
      <c r="H25">
        <v>59</v>
      </c>
      <c r="I25" s="1">
        <f t="shared" si="1"/>
        <v>62.10526315789474</v>
      </c>
      <c r="J25">
        <v>68</v>
      </c>
      <c r="K25" s="4">
        <f t="shared" si="2"/>
        <v>69.503105263157892</v>
      </c>
    </row>
    <row r="26" spans="1:11" x14ac:dyDescent="0.25">
      <c r="A26" t="s">
        <v>99</v>
      </c>
      <c r="B26" t="s">
        <v>100</v>
      </c>
      <c r="C26" t="s">
        <v>101</v>
      </c>
      <c r="D26" t="s">
        <v>102</v>
      </c>
      <c r="E26">
        <v>84.62</v>
      </c>
      <c r="F26">
        <v>8.1999999999999993</v>
      </c>
      <c r="G26">
        <f t="shared" si="0"/>
        <v>82</v>
      </c>
      <c r="H26">
        <v>80</v>
      </c>
      <c r="I26" s="1">
        <f t="shared" si="1"/>
        <v>84.210526315789465</v>
      </c>
      <c r="J26">
        <v>93</v>
      </c>
      <c r="K26" s="4">
        <f t="shared" si="2"/>
        <v>86.577210526315781</v>
      </c>
    </row>
    <row r="27" spans="1:11" x14ac:dyDescent="0.25">
      <c r="A27" t="s">
        <v>103</v>
      </c>
      <c r="B27" t="s">
        <v>104</v>
      </c>
      <c r="C27" t="s">
        <v>105</v>
      </c>
      <c r="D27" t="s">
        <v>106</v>
      </c>
      <c r="E27">
        <v>89.74</v>
      </c>
      <c r="F27">
        <v>9.1999999999999993</v>
      </c>
      <c r="G27">
        <f t="shared" si="0"/>
        <v>92</v>
      </c>
      <c r="H27">
        <v>68</v>
      </c>
      <c r="I27" s="1">
        <f t="shared" si="1"/>
        <v>71.578947368421055</v>
      </c>
      <c r="J27">
        <v>63</v>
      </c>
      <c r="K27" s="4">
        <f t="shared" si="2"/>
        <v>74.792578947368412</v>
      </c>
    </row>
    <row r="29" spans="1:11" x14ac:dyDescent="0.25">
      <c r="E29" s="4"/>
      <c r="F29" s="4"/>
      <c r="G29" s="4"/>
      <c r="H29" s="4"/>
      <c r="I29" s="4"/>
      <c r="J29" s="4"/>
      <c r="K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2025-04-23T17:50:07Z</dcterms:created>
  <dcterms:modified xsi:type="dcterms:W3CDTF">2025-04-24T03:00:56Z</dcterms:modified>
</cp:coreProperties>
</file>