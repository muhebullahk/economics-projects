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220/Grades/"/>
    </mc:Choice>
  </mc:AlternateContent>
  <xr:revisionPtr revIDLastSave="0" documentId="13_ncr:11_{67E1CAAA-10F4-7D4D-B622-88190E352DF7}" xr6:coauthVersionLast="47" xr6:coauthVersionMax="47" xr10:uidLastSave="{00000000-0000-0000-0000-000000000000}"/>
  <bookViews>
    <workbookView xWindow="0" yWindow="500" windowWidth="28800" windowHeight="17500" xr2:uid="{44FDFEAD-DA32-F44B-8AD4-5EF855F4D4DE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Q17" i="1" s="1"/>
  <c r="O9" i="1"/>
  <c r="Q3" i="1"/>
  <c r="Q4" i="1"/>
  <c r="Q5" i="1"/>
  <c r="Q6" i="1"/>
  <c r="Q7" i="1"/>
  <c r="Q8" i="1"/>
  <c r="Q10" i="1"/>
  <c r="Q11" i="1"/>
  <c r="Q12" i="1"/>
  <c r="Q14" i="1"/>
  <c r="Q15" i="1"/>
  <c r="Q16" i="1"/>
  <c r="Q18" i="1"/>
  <c r="Q19" i="1"/>
  <c r="Q20" i="1"/>
  <c r="Q2" i="1"/>
  <c r="P2" i="1"/>
  <c r="O3" i="1"/>
  <c r="O4" i="1"/>
  <c r="O5" i="1"/>
  <c r="O6" i="1"/>
  <c r="O7" i="1"/>
  <c r="O8" i="1"/>
  <c r="Q9" i="1"/>
  <c r="O10" i="1"/>
  <c r="O11" i="1"/>
  <c r="O12" i="1"/>
  <c r="O13" i="1"/>
  <c r="Q13" i="1" s="1"/>
  <c r="O14" i="1"/>
  <c r="O15" i="1"/>
  <c r="O16" i="1"/>
  <c r="O18" i="1"/>
  <c r="O19" i="1"/>
  <c r="O20" i="1"/>
  <c r="O2" i="1"/>
  <c r="M3" i="1"/>
  <c r="M4" i="1"/>
  <c r="M5" i="1"/>
  <c r="M6" i="1"/>
  <c r="M7" i="1"/>
  <c r="M8" i="1"/>
  <c r="M10" i="1"/>
  <c r="M11" i="1"/>
  <c r="M12" i="1"/>
  <c r="M14" i="1"/>
  <c r="M18" i="1"/>
  <c r="M19" i="1"/>
  <c r="M20" i="1"/>
  <c r="M2" i="1"/>
  <c r="J3" i="1"/>
  <c r="J4" i="1"/>
  <c r="J5" i="1"/>
  <c r="J6" i="1"/>
  <c r="J7" i="1"/>
  <c r="J10" i="1"/>
  <c r="J11" i="1"/>
  <c r="J12" i="1"/>
  <c r="J13" i="1"/>
  <c r="J14" i="1"/>
  <c r="J16" i="1"/>
  <c r="J17" i="1"/>
  <c r="J18" i="1"/>
  <c r="J19" i="1"/>
  <c r="J20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N3" i="1" l="1"/>
  <c r="P3" i="1" s="1"/>
  <c r="N4" i="1"/>
  <c r="P4" i="1" s="1"/>
  <c r="N5" i="1"/>
  <c r="P5" i="1" s="1"/>
  <c r="N6" i="1"/>
  <c r="P6" i="1" s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" i="1"/>
</calcChain>
</file>

<file path=xl/sharedStrings.xml><?xml version="1.0" encoding="utf-8"?>
<sst xmlns="http://schemas.openxmlformats.org/spreadsheetml/2006/main" count="88" uniqueCount="87">
  <si>
    <t>First name</t>
  </si>
  <si>
    <t>Last name</t>
  </si>
  <si>
    <t>ID number</t>
  </si>
  <si>
    <t>Email address</t>
  </si>
  <si>
    <t>Vedant Rajesh</t>
  </si>
  <si>
    <t>Angre</t>
  </si>
  <si>
    <t>230153646</t>
  </si>
  <si>
    <t>angre@unbc.ca</t>
  </si>
  <si>
    <t>Noopur Tusharbhai</t>
  </si>
  <si>
    <t>Ariwala</t>
  </si>
  <si>
    <t>230154166</t>
  </si>
  <si>
    <t>ariwala@unbc.ca</t>
  </si>
  <si>
    <t>Amrita</t>
  </si>
  <si>
    <t>Billing</t>
  </si>
  <si>
    <t>230150290</t>
  </si>
  <si>
    <t>billing0@unbc.ca</t>
  </si>
  <si>
    <t>Landon</t>
  </si>
  <si>
    <t>Bruvold</t>
  </si>
  <si>
    <t>230164331</t>
  </si>
  <si>
    <t>bruvold@unbc.ca</t>
  </si>
  <si>
    <t>Evan</t>
  </si>
  <si>
    <t>Henson</t>
  </si>
  <si>
    <t>230147102</t>
  </si>
  <si>
    <t>ehenson@unbc.ca</t>
  </si>
  <si>
    <t>shanzay</t>
  </si>
  <si>
    <t>Jafferali</t>
  </si>
  <si>
    <t>230163359</t>
  </si>
  <si>
    <t>jaffer@unbc.ca</t>
  </si>
  <si>
    <t>Sophie</t>
  </si>
  <si>
    <t>Johnson</t>
  </si>
  <si>
    <t>230165654</t>
  </si>
  <si>
    <t>johnsons4@unbc.ca</t>
  </si>
  <si>
    <t>Udbhav Reddy</t>
  </si>
  <si>
    <t>Madireddy</t>
  </si>
  <si>
    <t>230161315</t>
  </si>
  <si>
    <t>madireddy@unbc.ca</t>
  </si>
  <si>
    <t>Curtis</t>
  </si>
  <si>
    <t>Nickle</t>
  </si>
  <si>
    <t>230155105</t>
  </si>
  <si>
    <t>nickle@unbc.ca</t>
  </si>
  <si>
    <t>Durva Rakeshkumar</t>
  </si>
  <si>
    <t>Parmar</t>
  </si>
  <si>
    <t>230153135</t>
  </si>
  <si>
    <t>dparmar@unbc.ca</t>
  </si>
  <si>
    <t>Tyra</t>
  </si>
  <si>
    <t>230146724</t>
  </si>
  <si>
    <t>parmart0@unbc.ca</t>
  </si>
  <si>
    <t>Sarah</t>
  </si>
  <si>
    <t>Qureshi</t>
  </si>
  <si>
    <t>230162135</t>
  </si>
  <si>
    <t>squreshi@unbc.ca</t>
  </si>
  <si>
    <t>Balkrishna Dineshbhai</t>
  </si>
  <si>
    <t>Radadiya</t>
  </si>
  <si>
    <t>230158142</t>
  </si>
  <si>
    <t>bradadiya@unbc.ca</t>
  </si>
  <si>
    <t>Colin</t>
  </si>
  <si>
    <t>Stauffer</t>
  </si>
  <si>
    <t>230156305</t>
  </si>
  <si>
    <t>cstauffer@unbc.ca</t>
  </si>
  <si>
    <t>Aastha</t>
  </si>
  <si>
    <t>Thakkar</t>
  </si>
  <si>
    <t>230152565</t>
  </si>
  <si>
    <t>athakkar@unbc.ca</t>
  </si>
  <si>
    <t>Amneet</t>
  </si>
  <si>
    <t>Toor</t>
  </si>
  <si>
    <t>230158276</t>
  </si>
  <si>
    <t>toor2@unbc.ca</t>
  </si>
  <si>
    <t>Kesar Pallav</t>
  </si>
  <si>
    <t>Vadesa</t>
  </si>
  <si>
    <t>230157969</t>
  </si>
  <si>
    <t>vadesa@unbc.ca</t>
  </si>
  <si>
    <t>Aman</t>
  </si>
  <si>
    <t>Yadav</t>
  </si>
  <si>
    <t>230144190</t>
  </si>
  <si>
    <t>yadav@unbc.ca</t>
  </si>
  <si>
    <t>Nahid</t>
  </si>
  <si>
    <t>Yari</t>
  </si>
  <si>
    <t>230162487</t>
  </si>
  <si>
    <t>yari@unbc.ca</t>
  </si>
  <si>
    <t>Presentation 45</t>
  </si>
  <si>
    <t>Participation 10</t>
  </si>
  <si>
    <t>Wrtten Draft 45</t>
  </si>
  <si>
    <t>FE 100</t>
  </si>
  <si>
    <t>MT2 50</t>
  </si>
  <si>
    <t>MT1 10</t>
  </si>
  <si>
    <t>Final Term Project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</si>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</sst>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  <font>
      <b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5">
    <xf numFmtId="0" fontId="0" fillId="0" borderId="0" xfId="0"/>
    <xf numFmtId="0" fontId="0" fillId="2" borderId="0" xfId="0" applyFill="1"/>
    <xf numFmtId="0" fontId="3" fillId="0" borderId="0" xfId="0" applyFont="1"/>
    <xf numFmtId="1" fontId="0" fillId="0" borderId="0" xfId="0" applyNumberFormat="1"/>
    <xf numFmtId="1" fontId="0" fillId="2" borderId="0" xfId="0" applyNumberFormat="1" applyFill="1"/>
  </cellXfs>
  <cellStyles count="5">
    <cellStyle name="Heading" xfId="1" xr:uid="{46E2F97E-B706-FC4E-897F-59FD854066CD}"/>
    <cellStyle name="Heading1" xfId="2" xr:uid="{FE174B0D-0143-F74B-BCAA-C54837AA71F4}"/>
    <cellStyle name="Normal" xfId="0" builtinId="0" customBuiltin="1"/>
    <cellStyle name="Result" xfId="3" xr:uid="{54A9F973-C5EE-8E43-9200-13ED290807BE}"/>
    <cellStyle name="Result2" xfId="4" xr:uid="{F3F19929-C96B-804A-8942-0CDDB39F8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CA90-7F04-0745-8690-5B7E94FC1A27}">
  <dimension ref="A1:Q20"/>
  <sheetViews>
    <sheetView tabSelected="1" topLeftCell="E1" workbookViewId="0">
      <selection activeCell="H9" sqref="H9"/>
    </sheetView>
  </sheetViews>
  <sheetFormatPr baseColWidth="10" defaultRowHeight="18" x14ac:dyDescent="0.25"/>
  <cols>
    <col min="1" max="1" width="15.140625" customWidth="1"/>
    <col min="4" max="4" width="18.5703125" customWidth="1"/>
    <col min="5" max="5" width="20.85546875" customWidth="1"/>
    <col min="6" max="6" width="24.28515625" customWidth="1"/>
    <col min="9" max="10" width="14.140625" customWidth="1"/>
    <col min="11" max="11" width="12.85546875" customWidth="1"/>
    <col min="12" max="13" width="14.28515625" customWidth="1"/>
    <col min="14" max="15" width="15.85546875" customWidth="1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84</v>
      </c>
      <c r="F1" s="2" t="s">
        <v>83</v>
      </c>
      <c r="G1" s="2" t="s">
        <v>82</v>
      </c>
      <c r="I1" s="2" t="s">
        <v>79</v>
      </c>
      <c r="K1" s="2" t="s">
        <v>80</v>
      </c>
      <c r="L1" s="2" t="s">
        <v>81</v>
      </c>
      <c r="N1" s="2" t="s">
        <v>85</v>
      </c>
      <c r="P1" s="2" t="s">
        <v>86</v>
      </c>
    </row>
    <row r="2" spans="1:17" x14ac:dyDescent="0.25">
      <c r="A2" t="s">
        <v>4</v>
      </c>
      <c r="B2" t="s">
        <v>5</v>
      </c>
      <c r="C2" t="s">
        <v>6</v>
      </c>
      <c r="D2" t="s">
        <v>7</v>
      </c>
      <c r="E2">
        <v>9</v>
      </c>
      <c r="F2">
        <v>44</v>
      </c>
      <c r="G2">
        <v>74</v>
      </c>
      <c r="H2">
        <f>G2/90*100</f>
        <v>82.222222222222214</v>
      </c>
      <c r="I2">
        <v>43</v>
      </c>
      <c r="J2">
        <f>I2-5</f>
        <v>38</v>
      </c>
      <c r="L2">
        <v>42</v>
      </c>
      <c r="M2">
        <f>L2-5</f>
        <v>37</v>
      </c>
      <c r="N2">
        <f>I2+K2+L2</f>
        <v>85</v>
      </c>
      <c r="O2">
        <f>J2+K2+M2</f>
        <v>75</v>
      </c>
      <c r="P2" s="3">
        <f>E2*10*0.15+F2/50*100*0.15+G2*0.4+N2*0.3</f>
        <v>81.8</v>
      </c>
      <c r="Q2" s="3">
        <f>E2*10*0.15+F2/50*100*0.15+H2*0.4+O2*0.3</f>
        <v>82.088888888888889</v>
      </c>
    </row>
    <row r="3" spans="1:17" x14ac:dyDescent="0.25">
      <c r="A3" t="s">
        <v>8</v>
      </c>
      <c r="B3" t="s">
        <v>9</v>
      </c>
      <c r="C3" t="s">
        <v>10</v>
      </c>
      <c r="D3" t="s">
        <v>11</v>
      </c>
      <c r="E3">
        <v>9</v>
      </c>
      <c r="F3">
        <v>44</v>
      </c>
      <c r="G3">
        <v>65</v>
      </c>
      <c r="H3">
        <f t="shared" ref="H3:H20" si="0">G3/90*100</f>
        <v>72.222222222222214</v>
      </c>
      <c r="I3">
        <v>38</v>
      </c>
      <c r="J3">
        <f t="shared" ref="J3:J20" si="1">I3-5</f>
        <v>33</v>
      </c>
      <c r="L3">
        <v>42</v>
      </c>
      <c r="M3">
        <f t="shared" ref="M3:M20" si="2">L3-5</f>
        <v>37</v>
      </c>
      <c r="N3">
        <f t="shared" ref="N3:N20" si="3">I3+K3+L3</f>
        <v>80</v>
      </c>
      <c r="O3">
        <f t="shared" ref="O3:O20" si="4">J3+K3+M3</f>
        <v>70</v>
      </c>
      <c r="P3" s="3">
        <f t="shared" ref="P3:P20" si="5">E3*10*0.15+F3/50*100*0.15+G3*0.4+N3*0.3</f>
        <v>76.7</v>
      </c>
      <c r="Q3" s="3">
        <f t="shared" ref="Q3:Q20" si="6">E3*10*0.15+F3/50*100*0.15+H3*0.4+O3*0.3</f>
        <v>76.588888888888889</v>
      </c>
    </row>
    <row r="4" spans="1:17" x14ac:dyDescent="0.25">
      <c r="A4" t="s">
        <v>12</v>
      </c>
      <c r="B4" t="s">
        <v>13</v>
      </c>
      <c r="C4" t="s">
        <v>14</v>
      </c>
      <c r="D4" t="s">
        <v>15</v>
      </c>
      <c r="E4">
        <v>8.75</v>
      </c>
      <c r="F4">
        <v>38</v>
      </c>
      <c r="G4">
        <v>47</v>
      </c>
      <c r="H4">
        <f t="shared" si="0"/>
        <v>52.222222222222229</v>
      </c>
      <c r="I4">
        <v>42</v>
      </c>
      <c r="J4">
        <f t="shared" si="1"/>
        <v>37</v>
      </c>
      <c r="K4">
        <v>8</v>
      </c>
      <c r="L4">
        <v>43</v>
      </c>
      <c r="M4">
        <f t="shared" si="2"/>
        <v>38</v>
      </c>
      <c r="N4">
        <f t="shared" si="3"/>
        <v>93</v>
      </c>
      <c r="O4">
        <f t="shared" si="4"/>
        <v>83</v>
      </c>
      <c r="P4" s="3">
        <f t="shared" si="5"/>
        <v>71.224999999999994</v>
      </c>
      <c r="Q4" s="3">
        <f t="shared" si="6"/>
        <v>70.313888888888897</v>
      </c>
    </row>
    <row r="5" spans="1:17" x14ac:dyDescent="0.25">
      <c r="A5" t="s">
        <v>16</v>
      </c>
      <c r="B5" t="s">
        <v>17</v>
      </c>
      <c r="C5" t="s">
        <v>18</v>
      </c>
      <c r="D5" t="s">
        <v>19</v>
      </c>
      <c r="E5">
        <v>6.25</v>
      </c>
      <c r="F5">
        <v>38</v>
      </c>
      <c r="G5">
        <v>52</v>
      </c>
      <c r="H5">
        <f t="shared" si="0"/>
        <v>57.777777777777771</v>
      </c>
      <c r="I5">
        <v>30</v>
      </c>
      <c r="J5">
        <f t="shared" si="1"/>
        <v>25</v>
      </c>
      <c r="L5">
        <v>35</v>
      </c>
      <c r="M5">
        <f t="shared" si="2"/>
        <v>30</v>
      </c>
      <c r="N5">
        <f t="shared" si="3"/>
        <v>65</v>
      </c>
      <c r="O5">
        <f t="shared" si="4"/>
        <v>55</v>
      </c>
      <c r="P5" s="3">
        <f t="shared" si="5"/>
        <v>61.075000000000003</v>
      </c>
      <c r="Q5" s="3">
        <f t="shared" si="6"/>
        <v>60.386111111111106</v>
      </c>
    </row>
    <row r="6" spans="1:17" x14ac:dyDescent="0.25">
      <c r="A6" t="s">
        <v>20</v>
      </c>
      <c r="B6" t="s">
        <v>21</v>
      </c>
      <c r="C6" t="s">
        <v>22</v>
      </c>
      <c r="D6" t="s">
        <v>23</v>
      </c>
      <c r="E6">
        <v>9.5</v>
      </c>
      <c r="F6">
        <v>37</v>
      </c>
      <c r="G6">
        <v>58</v>
      </c>
      <c r="H6">
        <f t="shared" si="0"/>
        <v>64.444444444444443</v>
      </c>
      <c r="I6">
        <v>42</v>
      </c>
      <c r="J6">
        <f t="shared" si="1"/>
        <v>37</v>
      </c>
      <c r="L6">
        <v>43</v>
      </c>
      <c r="M6">
        <f t="shared" si="2"/>
        <v>38</v>
      </c>
      <c r="N6">
        <f t="shared" si="3"/>
        <v>85</v>
      </c>
      <c r="O6">
        <f t="shared" si="4"/>
        <v>75</v>
      </c>
      <c r="P6" s="3">
        <f t="shared" si="5"/>
        <v>74.050000000000011</v>
      </c>
      <c r="Q6" s="3">
        <f t="shared" si="6"/>
        <v>73.62777777777778</v>
      </c>
    </row>
    <row r="7" spans="1:17" x14ac:dyDescent="0.25">
      <c r="A7" t="s">
        <v>24</v>
      </c>
      <c r="B7" t="s">
        <v>25</v>
      </c>
      <c r="C7" t="s">
        <v>26</v>
      </c>
      <c r="D7" t="s">
        <v>27</v>
      </c>
      <c r="E7">
        <v>8.75</v>
      </c>
      <c r="F7">
        <v>45</v>
      </c>
      <c r="G7">
        <v>75</v>
      </c>
      <c r="H7">
        <f t="shared" si="0"/>
        <v>83.333333333333343</v>
      </c>
      <c r="I7">
        <v>40</v>
      </c>
      <c r="J7">
        <f t="shared" si="1"/>
        <v>35</v>
      </c>
      <c r="L7">
        <v>43</v>
      </c>
      <c r="M7">
        <f t="shared" si="2"/>
        <v>38</v>
      </c>
      <c r="N7">
        <f t="shared" si="3"/>
        <v>83</v>
      </c>
      <c r="O7">
        <f t="shared" si="4"/>
        <v>73</v>
      </c>
      <c r="P7" s="3">
        <f t="shared" si="5"/>
        <v>81.525000000000006</v>
      </c>
      <c r="Q7" s="3">
        <f t="shared" si="6"/>
        <v>81.858333333333334</v>
      </c>
    </row>
    <row r="8" spans="1:17" x14ac:dyDescent="0.25">
      <c r="A8" t="s">
        <v>28</v>
      </c>
      <c r="B8" t="s">
        <v>29</v>
      </c>
      <c r="C8" t="s">
        <v>30</v>
      </c>
      <c r="D8" t="s">
        <v>31</v>
      </c>
      <c r="E8">
        <v>0</v>
      </c>
      <c r="F8">
        <v>46</v>
      </c>
      <c r="G8">
        <v>74</v>
      </c>
      <c r="H8">
        <f t="shared" si="0"/>
        <v>82.222222222222214</v>
      </c>
      <c r="I8" s="1"/>
      <c r="L8">
        <v>40</v>
      </c>
      <c r="M8">
        <f t="shared" si="2"/>
        <v>35</v>
      </c>
      <c r="N8">
        <f t="shared" si="3"/>
        <v>40</v>
      </c>
      <c r="O8">
        <f t="shared" si="4"/>
        <v>35</v>
      </c>
      <c r="P8" s="3">
        <f>F8/50*100*0.15+G8*0.55+N8*0.3</f>
        <v>66.5</v>
      </c>
      <c r="Q8" s="3">
        <f t="shared" si="6"/>
        <v>57.188888888888883</v>
      </c>
    </row>
    <row r="9" spans="1:17" x14ac:dyDescent="0.25">
      <c r="A9" t="s">
        <v>32</v>
      </c>
      <c r="B9" t="s">
        <v>33</v>
      </c>
      <c r="C9" t="s">
        <v>34</v>
      </c>
      <c r="D9" t="s">
        <v>35</v>
      </c>
      <c r="E9">
        <v>9.5</v>
      </c>
      <c r="F9">
        <v>45</v>
      </c>
      <c r="G9" s="1">
        <v>66</v>
      </c>
      <c r="H9" s="1">
        <f t="shared" si="0"/>
        <v>73.333333333333329</v>
      </c>
      <c r="I9" s="1"/>
      <c r="L9">
        <v>30</v>
      </c>
      <c r="M9" s="1">
        <v>21</v>
      </c>
      <c r="N9">
        <f t="shared" si="3"/>
        <v>30</v>
      </c>
      <c r="O9">
        <f t="shared" si="4"/>
        <v>21</v>
      </c>
      <c r="P9" s="3">
        <f t="shared" si="5"/>
        <v>63.150000000000006</v>
      </c>
      <c r="Q9" s="3">
        <f t="shared" si="6"/>
        <v>63.383333333333326</v>
      </c>
    </row>
    <row r="10" spans="1:17" x14ac:dyDescent="0.25">
      <c r="A10" t="s">
        <v>36</v>
      </c>
      <c r="B10" t="s">
        <v>37</v>
      </c>
      <c r="C10" t="s">
        <v>38</v>
      </c>
      <c r="D10" t="s">
        <v>39</v>
      </c>
      <c r="E10">
        <v>9</v>
      </c>
      <c r="F10">
        <v>39</v>
      </c>
      <c r="G10">
        <v>69</v>
      </c>
      <c r="H10">
        <f t="shared" si="0"/>
        <v>76.666666666666671</v>
      </c>
      <c r="I10">
        <v>40</v>
      </c>
      <c r="J10">
        <f t="shared" si="1"/>
        <v>35</v>
      </c>
      <c r="L10">
        <v>43</v>
      </c>
      <c r="M10">
        <f t="shared" si="2"/>
        <v>38</v>
      </c>
      <c r="N10">
        <f t="shared" si="3"/>
        <v>83</v>
      </c>
      <c r="O10">
        <f t="shared" si="4"/>
        <v>73</v>
      </c>
      <c r="P10" s="3">
        <f t="shared" si="5"/>
        <v>77.699999999999989</v>
      </c>
      <c r="Q10" s="3">
        <f t="shared" si="6"/>
        <v>77.76666666666668</v>
      </c>
    </row>
    <row r="11" spans="1:17" x14ac:dyDescent="0.25">
      <c r="A11" t="s">
        <v>40</v>
      </c>
      <c r="B11" t="s">
        <v>41</v>
      </c>
      <c r="C11" t="s">
        <v>42</v>
      </c>
      <c r="D11" t="s">
        <v>43</v>
      </c>
      <c r="E11">
        <v>9.25</v>
      </c>
      <c r="F11">
        <v>44</v>
      </c>
      <c r="G11">
        <v>61</v>
      </c>
      <c r="H11">
        <f t="shared" si="0"/>
        <v>67.777777777777786</v>
      </c>
      <c r="I11">
        <v>35</v>
      </c>
      <c r="J11">
        <f t="shared" si="1"/>
        <v>30</v>
      </c>
      <c r="L11">
        <v>40</v>
      </c>
      <c r="M11">
        <f t="shared" si="2"/>
        <v>35</v>
      </c>
      <c r="N11">
        <f t="shared" si="3"/>
        <v>75</v>
      </c>
      <c r="O11">
        <f t="shared" si="4"/>
        <v>65</v>
      </c>
      <c r="P11" s="3">
        <f t="shared" si="5"/>
        <v>73.974999999999994</v>
      </c>
      <c r="Q11" s="3">
        <f t="shared" si="6"/>
        <v>73.686111111111117</v>
      </c>
    </row>
    <row r="12" spans="1:17" x14ac:dyDescent="0.25">
      <c r="A12" t="s">
        <v>44</v>
      </c>
      <c r="B12" t="s">
        <v>41</v>
      </c>
      <c r="C12" t="s">
        <v>45</v>
      </c>
      <c r="D12" t="s">
        <v>46</v>
      </c>
      <c r="E12">
        <v>9.25</v>
      </c>
      <c r="F12">
        <v>44</v>
      </c>
      <c r="G12">
        <v>67</v>
      </c>
      <c r="H12">
        <f t="shared" si="0"/>
        <v>74.444444444444443</v>
      </c>
      <c r="I12">
        <v>42</v>
      </c>
      <c r="J12">
        <f t="shared" si="1"/>
        <v>37</v>
      </c>
      <c r="L12">
        <v>43</v>
      </c>
      <c r="M12">
        <f t="shared" si="2"/>
        <v>38</v>
      </c>
      <c r="N12">
        <f t="shared" si="3"/>
        <v>85</v>
      </c>
      <c r="O12">
        <f t="shared" si="4"/>
        <v>75</v>
      </c>
      <c r="P12" s="3">
        <f t="shared" si="5"/>
        <v>79.375</v>
      </c>
      <c r="Q12" s="3">
        <f t="shared" si="6"/>
        <v>79.352777777777774</v>
      </c>
    </row>
    <row r="13" spans="1:17" x14ac:dyDescent="0.25">
      <c r="A13" t="s">
        <v>47</v>
      </c>
      <c r="B13" t="s">
        <v>48</v>
      </c>
      <c r="C13" t="s">
        <v>49</v>
      </c>
      <c r="D13" t="s">
        <v>50</v>
      </c>
      <c r="E13">
        <v>9</v>
      </c>
      <c r="F13">
        <v>40</v>
      </c>
      <c r="G13">
        <v>71</v>
      </c>
      <c r="H13">
        <f t="shared" si="0"/>
        <v>78.888888888888886</v>
      </c>
      <c r="I13">
        <v>35</v>
      </c>
      <c r="J13">
        <f t="shared" si="1"/>
        <v>30</v>
      </c>
      <c r="L13">
        <v>40</v>
      </c>
      <c r="M13" s="1">
        <v>34</v>
      </c>
      <c r="N13">
        <f t="shared" si="3"/>
        <v>75</v>
      </c>
      <c r="O13">
        <f t="shared" si="4"/>
        <v>64</v>
      </c>
      <c r="P13" s="3">
        <f t="shared" si="5"/>
        <v>76.400000000000006</v>
      </c>
      <c r="Q13" s="3">
        <f t="shared" si="6"/>
        <v>76.25555555555556</v>
      </c>
    </row>
    <row r="14" spans="1:17" x14ac:dyDescent="0.25">
      <c r="A14" t="s">
        <v>51</v>
      </c>
      <c r="B14" t="s">
        <v>52</v>
      </c>
      <c r="C14" t="s">
        <v>53</v>
      </c>
      <c r="D14" t="s">
        <v>54</v>
      </c>
      <c r="E14">
        <v>9.5</v>
      </c>
      <c r="F14">
        <v>45</v>
      </c>
      <c r="G14">
        <v>65</v>
      </c>
      <c r="H14">
        <f t="shared" si="0"/>
        <v>72.222222222222214</v>
      </c>
      <c r="I14">
        <v>30</v>
      </c>
      <c r="J14">
        <f t="shared" si="1"/>
        <v>25</v>
      </c>
      <c r="L14">
        <v>35</v>
      </c>
      <c r="M14">
        <f t="shared" si="2"/>
        <v>30</v>
      </c>
      <c r="N14">
        <f t="shared" si="3"/>
        <v>65</v>
      </c>
      <c r="O14">
        <f t="shared" si="4"/>
        <v>55</v>
      </c>
      <c r="P14" s="3">
        <f t="shared" si="5"/>
        <v>73.25</v>
      </c>
      <c r="Q14" s="3">
        <f t="shared" si="6"/>
        <v>73.138888888888886</v>
      </c>
    </row>
    <row r="15" spans="1:17" x14ac:dyDescent="0.25">
      <c r="A15" t="s">
        <v>55</v>
      </c>
      <c r="B15" t="s">
        <v>56</v>
      </c>
      <c r="C15" t="s">
        <v>57</v>
      </c>
      <c r="D15" t="s">
        <v>58</v>
      </c>
      <c r="E15">
        <v>7.75</v>
      </c>
      <c r="F15">
        <v>32</v>
      </c>
      <c r="G15" s="1">
        <v>49</v>
      </c>
      <c r="H15" s="1">
        <f t="shared" si="0"/>
        <v>54.444444444444443</v>
      </c>
      <c r="L15">
        <v>0</v>
      </c>
      <c r="N15">
        <f t="shared" si="3"/>
        <v>0</v>
      </c>
      <c r="O15">
        <f t="shared" si="4"/>
        <v>0</v>
      </c>
      <c r="P15" s="3">
        <f t="shared" si="5"/>
        <v>40.825000000000003</v>
      </c>
      <c r="Q15" s="4">
        <f t="shared" si="6"/>
        <v>43.00277777777778</v>
      </c>
    </row>
    <row r="16" spans="1:17" x14ac:dyDescent="0.25">
      <c r="A16" t="s">
        <v>59</v>
      </c>
      <c r="B16" t="s">
        <v>60</v>
      </c>
      <c r="C16" t="s">
        <v>61</v>
      </c>
      <c r="D16" t="s">
        <v>62</v>
      </c>
      <c r="E16">
        <v>9</v>
      </c>
      <c r="F16">
        <v>44</v>
      </c>
      <c r="G16">
        <v>73</v>
      </c>
      <c r="H16">
        <f t="shared" si="0"/>
        <v>81.111111111111114</v>
      </c>
      <c r="I16">
        <v>43</v>
      </c>
      <c r="J16">
        <f t="shared" si="1"/>
        <v>38</v>
      </c>
      <c r="L16">
        <v>42</v>
      </c>
      <c r="M16" s="1">
        <v>36</v>
      </c>
      <c r="N16">
        <f t="shared" si="3"/>
        <v>85</v>
      </c>
      <c r="O16">
        <f t="shared" si="4"/>
        <v>74</v>
      </c>
      <c r="P16" s="3">
        <f t="shared" si="5"/>
        <v>81.400000000000006</v>
      </c>
      <c r="Q16" s="3">
        <f t="shared" si="6"/>
        <v>81.344444444444449</v>
      </c>
    </row>
    <row r="17" spans="1:17" x14ac:dyDescent="0.25">
      <c r="A17" t="s">
        <v>63</v>
      </c>
      <c r="B17" t="s">
        <v>64</v>
      </c>
      <c r="C17" t="s">
        <v>65</v>
      </c>
      <c r="D17" t="s">
        <v>66</v>
      </c>
      <c r="E17">
        <v>7.25</v>
      </c>
      <c r="F17">
        <v>37</v>
      </c>
      <c r="G17">
        <v>69</v>
      </c>
      <c r="H17">
        <f t="shared" si="0"/>
        <v>76.666666666666671</v>
      </c>
      <c r="I17">
        <v>40</v>
      </c>
      <c r="J17">
        <f t="shared" si="1"/>
        <v>35</v>
      </c>
      <c r="L17">
        <v>43</v>
      </c>
      <c r="M17" s="1">
        <v>37</v>
      </c>
      <c r="N17">
        <f t="shared" si="3"/>
        <v>83</v>
      </c>
      <c r="O17">
        <f t="shared" si="4"/>
        <v>72</v>
      </c>
      <c r="P17" s="3">
        <f t="shared" si="5"/>
        <v>74.474999999999994</v>
      </c>
      <c r="Q17" s="3">
        <f t="shared" si="6"/>
        <v>74.241666666666674</v>
      </c>
    </row>
    <row r="18" spans="1:17" x14ac:dyDescent="0.25">
      <c r="A18" t="s">
        <v>67</v>
      </c>
      <c r="B18" t="s">
        <v>68</v>
      </c>
      <c r="C18" t="s">
        <v>69</v>
      </c>
      <c r="D18" t="s">
        <v>70</v>
      </c>
      <c r="E18">
        <v>9.25</v>
      </c>
      <c r="F18">
        <v>42</v>
      </c>
      <c r="G18">
        <v>60</v>
      </c>
      <c r="H18">
        <f t="shared" si="0"/>
        <v>66.666666666666657</v>
      </c>
      <c r="I18">
        <v>40</v>
      </c>
      <c r="J18">
        <f t="shared" si="1"/>
        <v>35</v>
      </c>
      <c r="K18">
        <v>4</v>
      </c>
      <c r="L18">
        <v>43</v>
      </c>
      <c r="M18">
        <f t="shared" si="2"/>
        <v>38</v>
      </c>
      <c r="N18">
        <f t="shared" si="3"/>
        <v>87</v>
      </c>
      <c r="O18">
        <f t="shared" si="4"/>
        <v>77</v>
      </c>
      <c r="P18" s="3">
        <f t="shared" si="5"/>
        <v>76.575000000000003</v>
      </c>
      <c r="Q18" s="3">
        <f t="shared" si="6"/>
        <v>76.24166666666666</v>
      </c>
    </row>
    <row r="19" spans="1:17" x14ac:dyDescent="0.25">
      <c r="A19" t="s">
        <v>71</v>
      </c>
      <c r="B19" t="s">
        <v>72</v>
      </c>
      <c r="C19" t="s">
        <v>73</v>
      </c>
      <c r="D19" t="s">
        <v>74</v>
      </c>
      <c r="E19">
        <v>8.25</v>
      </c>
      <c r="F19">
        <v>36</v>
      </c>
      <c r="G19">
        <v>69</v>
      </c>
      <c r="H19">
        <f t="shared" si="0"/>
        <v>76.666666666666671</v>
      </c>
      <c r="I19">
        <v>35</v>
      </c>
      <c r="J19">
        <f t="shared" si="1"/>
        <v>30</v>
      </c>
      <c r="L19">
        <v>40</v>
      </c>
      <c r="M19">
        <f t="shared" si="2"/>
        <v>35</v>
      </c>
      <c r="N19">
        <f t="shared" si="3"/>
        <v>75</v>
      </c>
      <c r="O19">
        <f t="shared" si="4"/>
        <v>65</v>
      </c>
      <c r="P19" s="3">
        <f t="shared" si="5"/>
        <v>73.275000000000006</v>
      </c>
      <c r="Q19" s="3">
        <f t="shared" si="6"/>
        <v>73.341666666666669</v>
      </c>
    </row>
    <row r="20" spans="1:17" x14ac:dyDescent="0.25">
      <c r="A20" t="s">
        <v>75</v>
      </c>
      <c r="B20" t="s">
        <v>76</v>
      </c>
      <c r="C20" t="s">
        <v>77</v>
      </c>
      <c r="D20" t="s">
        <v>78</v>
      </c>
      <c r="E20">
        <v>8.75</v>
      </c>
      <c r="F20">
        <v>46</v>
      </c>
      <c r="G20">
        <v>75</v>
      </c>
      <c r="H20">
        <f t="shared" si="0"/>
        <v>83.333333333333343</v>
      </c>
      <c r="I20">
        <v>40</v>
      </c>
      <c r="J20">
        <f t="shared" si="1"/>
        <v>35</v>
      </c>
      <c r="L20">
        <v>43</v>
      </c>
      <c r="M20">
        <f t="shared" si="2"/>
        <v>38</v>
      </c>
      <c r="N20">
        <f t="shared" si="3"/>
        <v>83</v>
      </c>
      <c r="O20">
        <f t="shared" si="4"/>
        <v>73</v>
      </c>
      <c r="P20" s="3">
        <f t="shared" si="5"/>
        <v>81.824999999999989</v>
      </c>
      <c r="Q20" s="3">
        <f t="shared" si="6"/>
        <v>82.158333333333331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2025-04-23T13:21:36Z</dcterms:created>
  <dcterms:modified xsi:type="dcterms:W3CDTF">2025-04-23T23:08:53Z</dcterms:modified>
</cp:coreProperties>
</file>